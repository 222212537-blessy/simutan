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  <sheet name="Barang Baru" sheetId="2" r:id="rId5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<sst xmlns="http://schemas.openxmlformats.org/spreadsheetml/2006/main" uniqueCount="1155">
  <si>
    <t>UAPB</t>
  </si>
  <si>
    <t>BADAN PUSAT STATISTIK</t>
  </si>
  <si>
    <t>UAPPB-E1</t>
  </si>
  <si>
    <t>UAPPB-W</t>
  </si>
  <si>
    <t>SEKRETARIAT UTAMA BADAN PUSAT STATISTIK</t>
  </si>
  <si>
    <t xml:space="preserve"> LAPORAN RINCIAN BARANG PERSEDIAAN </t>
  </si>
  <si>
    <t>UNTUK PERIODE YANG BERAKHIR TANGGAL 01-03-2026</t>
  </si>
  <si>
    <t>TAHUN ANGGARAN : 2026</t>
  </si>
  <si>
    <t>NAMA UAKPB : BADAN PUSAT STATISTIK JAKARTA UTARA</t>
  </si>
  <si>
    <t>KODE UAKPB : 054.01.0100.539170</t>
  </si>
  <si>
    <t>Kode</t>
  </si>
  <si>
    <t>Uraian</t>
  </si>
  <si>
    <t>Nilai
01-01-2026</t>
  </si>
  <si>
    <t>Mutasi</t>
  </si>
  <si>
    <t>Nilai
01-03-2026</t>
  </si>
  <si>
    <t>Jumlah</t>
  </si>
  <si>
    <t>Rupiah</t>
  </si>
  <si>
    <t>Masuk</t>
  </si>
  <si>
    <t>Keluar</t>
  </si>
  <si>
    <t>ALAT TULIS</t>
  </si>
  <si>
    <t>000010</t>
  </si>
  <si>
    <t>Pensil Steadler</t>
  </si>
  <si>
    <t>000013</t>
  </si>
  <si>
    <t>Spidol</t>
  </si>
  <si>
    <t>000017</t>
  </si>
  <si>
    <t>Ballpoint Pilot</t>
  </si>
  <si>
    <t>000046</t>
  </si>
  <si>
    <t>Stabillo Bos</t>
  </si>
  <si>
    <t>000147</t>
  </si>
  <si>
    <t>Pensil Mekanik pilot</t>
  </si>
  <si>
    <t>000190</t>
  </si>
  <si>
    <t>Ballpoint pilot-Baliner</t>
  </si>
  <si>
    <t>000198</t>
  </si>
  <si>
    <t>Ballpoint merah</t>
  </si>
  <si>
    <t>000200</t>
  </si>
  <si>
    <t>Ballpoint Standard AE7 0,5 Warna Merah</t>
  </si>
  <si>
    <t>000204</t>
  </si>
  <si>
    <t>Pensil 2B Faber Castle</t>
  </si>
  <si>
    <t>000205</t>
  </si>
  <si>
    <t>Pulpen Faster C6</t>
  </si>
  <si>
    <t>000206</t>
  </si>
  <si>
    <t>Pensil Mekanik Faber Castle Econ 0,5</t>
  </si>
  <si>
    <t>000207</t>
  </si>
  <si>
    <t>Isi pensil mekanik Pilot Eno 2B 0,5</t>
  </si>
  <si>
    <t>000209</t>
  </si>
  <si>
    <t>Isi Pensil Mekanik 2.00 mm</t>
  </si>
  <si>
    <t>000210</t>
  </si>
  <si>
    <t>Ballpoint Standar AE 7 Merah</t>
  </si>
  <si>
    <t>000211</t>
  </si>
  <si>
    <t>Balliner Biru</t>
  </si>
  <si>
    <t>000212</t>
  </si>
  <si>
    <t>Ballpoint Joyco Quaco</t>
  </si>
  <si>
    <t>000213</t>
  </si>
  <si>
    <t>Pulpen Pilot Frixion Hitam</t>
  </si>
  <si>
    <t>000214</t>
  </si>
  <si>
    <t>Pulpen Pilot Frixion Biru</t>
  </si>
  <si>
    <t>000215</t>
  </si>
  <si>
    <t>Pulpen merah standard</t>
  </si>
  <si>
    <t>000216</t>
  </si>
  <si>
    <t>Pulpen Hitam Standard</t>
  </si>
  <si>
    <t>000217</t>
  </si>
  <si>
    <t>Pensil Faber Castle 2B</t>
  </si>
  <si>
    <t>000218</t>
  </si>
  <si>
    <t>Refill Pilot Frixion 0,7 Biru</t>
  </si>
  <si>
    <t>000219</t>
  </si>
  <si>
    <t>Permanent Marker Snowman 520</t>
  </si>
  <si>
    <t>000220</t>
  </si>
  <si>
    <t>Marker snowman hitam</t>
  </si>
  <si>
    <t>000221</t>
  </si>
  <si>
    <t>Marker snowman biru</t>
  </si>
  <si>
    <t>000222</t>
  </si>
  <si>
    <t>Balliner Hitam</t>
  </si>
  <si>
    <t>000223</t>
  </si>
  <si>
    <t>Pulpen Pilot Frixion Merah</t>
  </si>
  <si>
    <t>000224</t>
  </si>
  <si>
    <t>Pulpen 4 warna Joyko</t>
  </si>
  <si>
    <t>000225</t>
  </si>
  <si>
    <t>Pilot frixion 3 warna</t>
  </si>
  <si>
    <t>000226</t>
  </si>
  <si>
    <t xml:space="preserve">Pentel Techniklick </t>
  </si>
  <si>
    <t>000227</t>
  </si>
  <si>
    <t>Refil pilot frixion hitam</t>
  </si>
  <si>
    <t>000228</t>
  </si>
  <si>
    <t>Pulpen joyko Q gel</t>
  </si>
  <si>
    <t>000229</t>
  </si>
  <si>
    <t>Refill pilot frixion merah</t>
  </si>
  <si>
    <t>000230</t>
  </si>
  <si>
    <t>Spidol Joyko Hitam</t>
  </si>
  <si>
    <t>000231</t>
  </si>
  <si>
    <t>Spidol Joyko Biru</t>
  </si>
  <si>
    <t>000232</t>
  </si>
  <si>
    <t>Spidol Joyko Merah</t>
  </si>
  <si>
    <t>000404</t>
  </si>
  <si>
    <t>Pulpen Q Gel Biru</t>
  </si>
  <si>
    <t>000407</t>
  </si>
  <si>
    <t>Stabillo Joyko</t>
  </si>
  <si>
    <t>TINTA TULIS, TINTA STEMPEL</t>
  </si>
  <si>
    <t>000193</t>
  </si>
  <si>
    <t>Stamp Pad Ink (Tinta Stempel) Blue</t>
  </si>
  <si>
    <t>000194</t>
  </si>
  <si>
    <t>Tinta stempel otomatis biru</t>
  </si>
  <si>
    <t>000195</t>
  </si>
  <si>
    <t>Tinta stempel otomatis hitam</t>
  </si>
  <si>
    <t>000196</t>
  </si>
  <si>
    <t>Tinta stempel otomatis merah</t>
  </si>
  <si>
    <t>PENJEPIT KERTAS</t>
  </si>
  <si>
    <t>000029</t>
  </si>
  <si>
    <t>Binder Clips No.107</t>
  </si>
  <si>
    <t>000030</t>
  </si>
  <si>
    <t>Binder Clips No.111</t>
  </si>
  <si>
    <t>000031</t>
  </si>
  <si>
    <t>Binder Clips No.200</t>
  </si>
  <si>
    <t>000032</t>
  </si>
  <si>
    <t>Binder Clips No.260</t>
  </si>
  <si>
    <t>000085</t>
  </si>
  <si>
    <t>Binder Clips No.155</t>
  </si>
  <si>
    <t>000103</t>
  </si>
  <si>
    <t>000126</t>
  </si>
  <si>
    <t>Binder Clips No.155 - Joyko</t>
  </si>
  <si>
    <t>000127</t>
  </si>
  <si>
    <t>Binder Clips No.200 - Joyko</t>
  </si>
  <si>
    <t>000128</t>
  </si>
  <si>
    <t>Binder Clips No.260 - Joyko</t>
  </si>
  <si>
    <t>000191</t>
  </si>
  <si>
    <t>Binder CLips No. 105</t>
  </si>
  <si>
    <t>000192</t>
  </si>
  <si>
    <t>Trigonal clips No.1</t>
  </si>
  <si>
    <t>Trigonal Clips No.3</t>
  </si>
  <si>
    <t>Trigonal clips No. 1</t>
  </si>
  <si>
    <t>Paper clip warna</t>
  </si>
  <si>
    <t>Binder clips no 280</t>
  </si>
  <si>
    <t>000197</t>
  </si>
  <si>
    <t xml:space="preserve">Penjepit Kertas No.5 </t>
  </si>
  <si>
    <t>Deli color binder clip</t>
  </si>
  <si>
    <t>PENGHAPUS/KOREKTOR</t>
  </si>
  <si>
    <t>000014</t>
  </si>
  <si>
    <t>Tip Ex</t>
  </si>
  <si>
    <t>000089</t>
  </si>
  <si>
    <t>tip-EX</t>
  </si>
  <si>
    <t>000140</t>
  </si>
  <si>
    <t>Penghapus Pensil - Joyko</t>
  </si>
  <si>
    <t>000061</t>
  </si>
  <si>
    <t>Penghapus White Board</t>
  </si>
  <si>
    <t>000149</t>
  </si>
  <si>
    <t>Penghapus Faber Castle</t>
  </si>
  <si>
    <t>000150</t>
  </si>
  <si>
    <t>Tipex correction roll joyko</t>
  </si>
  <si>
    <t>000151</t>
  </si>
  <si>
    <t>Faber castell correction tape</t>
  </si>
  <si>
    <t>BUKU TULIS</t>
  </si>
  <si>
    <t>Block note A5 Paperline</t>
  </si>
  <si>
    <t>ORDNER DAN MAP</t>
  </si>
  <si>
    <t>000058</t>
  </si>
  <si>
    <t>Map Plastik</t>
  </si>
  <si>
    <t>000120</t>
  </si>
  <si>
    <t>Ordner Folio Bindex</t>
  </si>
  <si>
    <t>000157</t>
  </si>
  <si>
    <t>Ordner 1 2 folio bindex</t>
  </si>
  <si>
    <t>MAP SNELLHECTER</t>
  </si>
  <si>
    <t>Map Folio Logo BPS full colour</t>
  </si>
  <si>
    <t>Plastik Pocket Folio</t>
  </si>
  <si>
    <t>PP Pockets Bindex F4</t>
  </si>
  <si>
    <t>000199</t>
  </si>
  <si>
    <t>Ordner Foilio Bantex</t>
  </si>
  <si>
    <t>000201</t>
  </si>
  <si>
    <t>Expanding File</t>
  </si>
  <si>
    <t>000202</t>
  </si>
  <si>
    <t>Map Folio Logo BPS Cetak</t>
  </si>
  <si>
    <t>000203</t>
  </si>
  <si>
    <t>Bantex PP Pocket Map Ordner</t>
  </si>
  <si>
    <t>Map Folder dengan list luar</t>
  </si>
  <si>
    <t>Box Arsip File Logo</t>
  </si>
  <si>
    <t>PP Pocket F4 Bantex</t>
  </si>
  <si>
    <t>Map Kancing</t>
  </si>
  <si>
    <t>000208</t>
  </si>
  <si>
    <t>Map Plastik Sablon satu sisi</t>
  </si>
  <si>
    <t>Interx map kancing Folio joyko</t>
  </si>
  <si>
    <t>Map Kancing Plastik F4</t>
  </si>
  <si>
    <t>Map Plastik Kancing Jaring Kancing dua</t>
  </si>
  <si>
    <t>Map L plastik warna F4 merk Daichi</t>
  </si>
  <si>
    <t>Map Hijau snelhecter Logo BPS</t>
  </si>
  <si>
    <t>Map Hijau Folio Logo BPS</t>
  </si>
  <si>
    <t>Map Plastik Kancing Berwarna FKP</t>
  </si>
  <si>
    <t>Map Jaring Berwarna FKP</t>
  </si>
  <si>
    <t>Map Plastik Kancing warna-warni</t>
  </si>
  <si>
    <t>Map File bisnis Felix uk F4</t>
  </si>
  <si>
    <t>InterX Folder Business File</t>
  </si>
  <si>
    <t>Expanding file Deli</t>
  </si>
  <si>
    <t>Map plastik kancing deli seri RIO</t>
  </si>
  <si>
    <t>Map plastik kancing Deli</t>
  </si>
  <si>
    <t>Map kancing resleting Topla</t>
  </si>
  <si>
    <t>Map Jaring Resleting Warna-warni</t>
  </si>
  <si>
    <t>Map L Plastik</t>
  </si>
  <si>
    <t>Map Lidah Arsip</t>
  </si>
  <si>
    <t>Map Lidah Arsip (Aplikasi Sekar)</t>
  </si>
  <si>
    <t>Map Folio custom BPS</t>
  </si>
  <si>
    <t>PP Pocket Bantex uk F4</t>
  </si>
  <si>
    <t>PENGGARIS</t>
  </si>
  <si>
    <t>Penggaris Besi 30cm</t>
  </si>
  <si>
    <t>CUTTER (ALAT TULIS KANTOR)</t>
  </si>
  <si>
    <t>000001</t>
  </si>
  <si>
    <t>Cutter</t>
  </si>
  <si>
    <t>000002</t>
  </si>
  <si>
    <t>Gunting Kertas</t>
  </si>
  <si>
    <t>ALAT PEREKAT</t>
  </si>
  <si>
    <t>Double tape Kenko</t>
  </si>
  <si>
    <t>000086</t>
  </si>
  <si>
    <t>lakban hitam</t>
  </si>
  <si>
    <t>000087</t>
  </si>
  <si>
    <t>lakban coklat</t>
  </si>
  <si>
    <t>double tape</t>
  </si>
  <si>
    <t>Lem Kertas Cair Merk Joyko 35 ml</t>
  </si>
  <si>
    <t>Glue Stick Kenko</t>
  </si>
  <si>
    <t>Lakban Bening</t>
  </si>
  <si>
    <t>Lem Stik Besar Kenko</t>
  </si>
  <si>
    <t>Isolasi 1x72</t>
  </si>
  <si>
    <t>Double tape 3M</t>
  </si>
  <si>
    <t xml:space="preserve">Lakban coklat besar daimaru </t>
  </si>
  <si>
    <t>STADLER HD</t>
  </si>
  <si>
    <t>000119</t>
  </si>
  <si>
    <t>Stapples HD 10 Max</t>
  </si>
  <si>
    <t>STAPLES</t>
  </si>
  <si>
    <t>Stapler HD 10</t>
  </si>
  <si>
    <t>Stapler HD 50</t>
  </si>
  <si>
    <t>ISI STAPLES</t>
  </si>
  <si>
    <t>Isi Staples No.10</t>
  </si>
  <si>
    <t>Isi Staples No 3</t>
  </si>
  <si>
    <t>ALAT TULIS KANTOR LAINNYA</t>
  </si>
  <si>
    <t>000022</t>
  </si>
  <si>
    <t>Stapples 10 Max</t>
  </si>
  <si>
    <t>000122</t>
  </si>
  <si>
    <t>Isi Stapples No.10 - Max</t>
  </si>
  <si>
    <t>000171</t>
  </si>
  <si>
    <t>Cutter L500 KENKO</t>
  </si>
  <si>
    <t>Isi Stapples no.10</t>
  </si>
  <si>
    <t>Post it tanda tangan</t>
  </si>
  <si>
    <t>Isi Stapler Max 12 15</t>
  </si>
  <si>
    <t>Sticky Notes TJ 654 mix</t>
  </si>
  <si>
    <t>Post it Sign Here</t>
  </si>
  <si>
    <t>Sticky Note</t>
  </si>
  <si>
    <t>Stabillo Boss</t>
  </si>
  <si>
    <t>Post it Pronto Mark</t>
  </si>
  <si>
    <t>Rautan Pensil Bulat</t>
  </si>
  <si>
    <t>Rautan Meja Kecil</t>
  </si>
  <si>
    <t>Memo Stick Joyko</t>
  </si>
  <si>
    <t>000999</t>
  </si>
  <si>
    <t>Pembolong kertas Kenko 85N</t>
  </si>
  <si>
    <t>Post it sign here</t>
  </si>
  <si>
    <t>Rautan Kecil</t>
  </si>
  <si>
    <t>Pulpen Gel Kokoro</t>
  </si>
  <si>
    <t>Rautan Meja Joyko A5</t>
  </si>
  <si>
    <t>Box file bantex folio warna</t>
  </si>
  <si>
    <t>Deli pencabut isi staples</t>
  </si>
  <si>
    <t>Deli pencabut type 1</t>
  </si>
  <si>
    <t>Joyko pencabut stapler</t>
  </si>
  <si>
    <t>Gunting Kecil</t>
  </si>
  <si>
    <t>KERTAS HVS</t>
  </si>
  <si>
    <t>000114</t>
  </si>
  <si>
    <t>Kertas A4 75 Gr Pindo copy paper</t>
  </si>
  <si>
    <t>000115</t>
  </si>
  <si>
    <t>Kertas F4 75 Gr Pindo copy paper</t>
  </si>
  <si>
    <t>000065</t>
  </si>
  <si>
    <t>Kertas HVS F4 70gr Paper One</t>
  </si>
  <si>
    <t>000068</t>
  </si>
  <si>
    <t>Kertas HVS A4 70gr Bola Dunia</t>
  </si>
  <si>
    <t>000093</t>
  </si>
  <si>
    <t>Kertas A3 80 Gr</t>
  </si>
  <si>
    <t>000102</t>
  </si>
  <si>
    <t>Kertas HVS A4 70 gr</t>
  </si>
  <si>
    <t>Kertas A3  80 Gr Tahun 2022</t>
  </si>
  <si>
    <t>000104</t>
  </si>
  <si>
    <t>Kertas HVS F4 75 Gram</t>
  </si>
  <si>
    <t>000105</t>
  </si>
  <si>
    <t>Kertas HVS A4 75 gr</t>
  </si>
  <si>
    <t>000106</t>
  </si>
  <si>
    <t>Kertas F4 75 Gr</t>
  </si>
  <si>
    <t>000107</t>
  </si>
  <si>
    <t>Kertas A4 75 Gr</t>
  </si>
  <si>
    <t>000108</t>
  </si>
  <si>
    <t>Kertas Paper One A4 75 Gr</t>
  </si>
  <si>
    <t>000109</t>
  </si>
  <si>
    <t>Kertas Paper One F4 75 Gr</t>
  </si>
  <si>
    <t>000110</t>
  </si>
  <si>
    <t>Kertas Paper One A3 75 Gr</t>
  </si>
  <si>
    <t>000111</t>
  </si>
  <si>
    <t>Kertas A3 85 Gram</t>
  </si>
  <si>
    <t>000112</t>
  </si>
  <si>
    <t>Kertas F4 Paper One 75 Gr</t>
  </si>
  <si>
    <t>000113</t>
  </si>
  <si>
    <t>Kertas A3 Paper One</t>
  </si>
  <si>
    <t>BERBAGAI KERTAS</t>
  </si>
  <si>
    <t>kertas hvs F4 70gr</t>
  </si>
  <si>
    <t>000097</t>
  </si>
  <si>
    <t>Kartu Kendali</t>
  </si>
  <si>
    <t>000098</t>
  </si>
  <si>
    <t>lembar pengantar</t>
  </si>
  <si>
    <t>000099</t>
  </si>
  <si>
    <t>lembar disposisi</t>
  </si>
  <si>
    <t>Photo Paper Kertas Sticker A4</t>
  </si>
  <si>
    <t>Kertas Concorde 220gr Putih</t>
  </si>
  <si>
    <t>Memo tempel persegi</t>
  </si>
  <si>
    <t>Memo sticky notes 6 warna</t>
  </si>
  <si>
    <t>AMPLOP</t>
  </si>
  <si>
    <t>Amplop coklat kecil logo BPS</t>
  </si>
  <si>
    <t>000141</t>
  </si>
  <si>
    <t>Amplop coklat folio logo BPS</t>
  </si>
  <si>
    <t>000142</t>
  </si>
  <si>
    <t>Amplop Logo BPS Cetak</t>
  </si>
  <si>
    <t>000143</t>
  </si>
  <si>
    <t>Amplop Putih Polos isi 100</t>
  </si>
  <si>
    <t>000144</t>
  </si>
  <si>
    <t>Amplop putih polos no 90</t>
  </si>
  <si>
    <t>TINTA CETAK</t>
  </si>
  <si>
    <t>Tinta Epson 774 Black</t>
  </si>
  <si>
    <t>Tinta Epson 664 Cyan</t>
  </si>
  <si>
    <t>000003</t>
  </si>
  <si>
    <t>Tinta Epson 664 Magenta</t>
  </si>
  <si>
    <t>000004</t>
  </si>
  <si>
    <t>Tinta Epson 664 Yellow</t>
  </si>
  <si>
    <t>000005</t>
  </si>
  <si>
    <t>Cartridge Toner 30A</t>
  </si>
  <si>
    <t>000006</t>
  </si>
  <si>
    <t>Epson 008 Black Original</t>
  </si>
  <si>
    <t>000007</t>
  </si>
  <si>
    <t>Epson 008 Magenta Original</t>
  </si>
  <si>
    <t>000008</t>
  </si>
  <si>
    <t xml:space="preserve">Epson 008 Yellow Original </t>
  </si>
  <si>
    <t>000009</t>
  </si>
  <si>
    <t>Epson 008 Cyan Original</t>
  </si>
  <si>
    <t>TINTA/TONER PRINTER</t>
  </si>
  <si>
    <t>000170</t>
  </si>
  <si>
    <t>Tinta Epson Black BK774</t>
  </si>
  <si>
    <t>Epson T774 Black Ink Bottle</t>
  </si>
  <si>
    <t>000172</t>
  </si>
  <si>
    <t>Tinta Hp Laser Jet 89A</t>
  </si>
  <si>
    <t>000173</t>
  </si>
  <si>
    <t>Epson T6641 Black</t>
  </si>
  <si>
    <t>000174</t>
  </si>
  <si>
    <t>Epson T6642 Cyan</t>
  </si>
  <si>
    <t>000175</t>
  </si>
  <si>
    <t>Epson T6643 Magenta</t>
  </si>
  <si>
    <t>000176</t>
  </si>
  <si>
    <t>Epson T6644 Yellow</t>
  </si>
  <si>
    <t>000177</t>
  </si>
  <si>
    <t>Epson 003 Black</t>
  </si>
  <si>
    <t>000178</t>
  </si>
  <si>
    <t>Epson 003 Cyan</t>
  </si>
  <si>
    <t>000179</t>
  </si>
  <si>
    <t>Epson 003 Magenta</t>
  </si>
  <si>
    <t>000180</t>
  </si>
  <si>
    <t>Epson 003 Yellow</t>
  </si>
  <si>
    <t>000181</t>
  </si>
  <si>
    <t>Epson T 7741</t>
  </si>
  <si>
    <t>000182</t>
  </si>
  <si>
    <t>Tinta Hp Laser Jet 80A</t>
  </si>
  <si>
    <t>000183</t>
  </si>
  <si>
    <t>Tinta Hp Laser Jet 204A Black</t>
  </si>
  <si>
    <t>000184</t>
  </si>
  <si>
    <t>Tinta Hp Laser Jet 204A Cyan</t>
  </si>
  <si>
    <t>000185</t>
  </si>
  <si>
    <t>Tinta Hp Laser Jet 204A Yellow</t>
  </si>
  <si>
    <t>000186</t>
  </si>
  <si>
    <t>Tinta Hp Laser Jet 204A Magenta</t>
  </si>
  <si>
    <t>000187</t>
  </si>
  <si>
    <t>CARTRIDGE TONER 30A</t>
  </si>
  <si>
    <t>000188</t>
  </si>
  <si>
    <t>Cartridge HP 682</t>
  </si>
  <si>
    <t>000189</t>
  </si>
  <si>
    <t>Original Tinta Epson T7741</t>
  </si>
  <si>
    <t>Original Tinta Epson T6642 Cyan</t>
  </si>
  <si>
    <t>Rexus Mouse</t>
  </si>
  <si>
    <t>Original Tinta Epson T6643 Magenta</t>
  </si>
  <si>
    <t>Original Tinta Epson T6644 Yellow</t>
  </si>
  <si>
    <t>Tinta Epson 664 Blue</t>
  </si>
  <si>
    <t>CF230A Compatible</t>
  </si>
  <si>
    <t>Mouse logitech M241</t>
  </si>
  <si>
    <t>CF289A Original</t>
  </si>
  <si>
    <t>CF280A Compatible</t>
  </si>
  <si>
    <t>Tinta Epson 008 Black</t>
  </si>
  <si>
    <t>Tinta Epson 008 Yellow</t>
  </si>
  <si>
    <t>Tinta Epson 008 Cyan</t>
  </si>
  <si>
    <t>Wireless mouse logitech M220 warna</t>
  </si>
  <si>
    <t xml:space="preserve">Tinta Epson 008 Magenta </t>
  </si>
  <si>
    <t>000131</t>
  </si>
  <si>
    <t>Kabel HDMI</t>
  </si>
  <si>
    <t>000132</t>
  </si>
  <si>
    <t>HDMI Splitter 1 in 4 out</t>
  </si>
  <si>
    <t>000133</t>
  </si>
  <si>
    <t>Adapter Tipe C to HDMI</t>
  </si>
  <si>
    <t>USB/FLASH DISK</t>
  </si>
  <si>
    <t>Flashdisk Sandisk 64Gb</t>
  </si>
  <si>
    <t>000130</t>
  </si>
  <si>
    <t>Rexus Mousepad</t>
  </si>
  <si>
    <t>USB OTG 32 Gb Type C</t>
  </si>
  <si>
    <t>Rexus Keyboard</t>
  </si>
  <si>
    <t>OTG 32 GB TYPE C</t>
  </si>
  <si>
    <t>USB Hub NYK 2.0 switch printer</t>
  </si>
  <si>
    <t>000607</t>
  </si>
  <si>
    <t>Kalkulator Casio DJ-240D Plus</t>
  </si>
  <si>
    <t>000608</t>
  </si>
  <si>
    <t>Index Mark Joyko Plastik</t>
  </si>
  <si>
    <t>MOUSE</t>
  </si>
  <si>
    <t>Mouse</t>
  </si>
  <si>
    <t>BAHAN KOMPUTER LAINNYA</t>
  </si>
  <si>
    <t>Keyboard</t>
  </si>
  <si>
    <t>000118</t>
  </si>
  <si>
    <t>Maintenance Box L15160</t>
  </si>
  <si>
    <t>000129</t>
  </si>
  <si>
    <t>Camera webcam</t>
  </si>
  <si>
    <t>Maintenance Box L-1455</t>
  </si>
  <si>
    <t>Kabel USB Printer Uk 5m</t>
  </si>
  <si>
    <t>000121</t>
  </si>
  <si>
    <t>Hub LAN 1-10 port</t>
  </si>
  <si>
    <t>Connector LAN USB 3.0</t>
  </si>
  <si>
    <t>000123</t>
  </si>
  <si>
    <t>Wireless keyboard numerik</t>
  </si>
  <si>
    <t>000124</t>
  </si>
  <si>
    <t>wireless keyboard biasa</t>
  </si>
  <si>
    <t>000125</t>
  </si>
  <si>
    <t>Tang crimping</t>
  </si>
  <si>
    <t>Detector/tester LAN</t>
  </si>
  <si>
    <t>BAHAN KIMIA UNTUK PEMBERSIH</t>
  </si>
  <si>
    <t>Indomaret Hand Wash</t>
  </si>
  <si>
    <t>PENGHARUM RUANGAN</t>
  </si>
  <si>
    <t>000168</t>
  </si>
  <si>
    <t>Refil Pengharum Ruangan Cair</t>
  </si>
  <si>
    <t>000169</t>
  </si>
  <si>
    <t>Refil Pengharum Ruangan Kaleng</t>
  </si>
  <si>
    <t>PERABOT KANTOR LAINNYA</t>
  </si>
  <si>
    <t>Tissue Gulung Indomaret</t>
  </si>
  <si>
    <t>Tissue Wajah Indomaret</t>
  </si>
  <si>
    <t>LAMPU LISTRIK</t>
  </si>
  <si>
    <t>Lampu Philips LED</t>
  </si>
  <si>
    <t>BATU BATERAI</t>
  </si>
  <si>
    <t>Batu Baterai Besar</t>
  </si>
  <si>
    <t>PERLENGKAPAN PENUNJANG KEGIATAN KANTOR LAINNYA</t>
  </si>
  <si>
    <t>Kalender Dinding 2023</t>
  </si>
  <si>
    <t>Kalender Meja 2023</t>
  </si>
  <si>
    <t>Buku Kerja 2023</t>
  </si>
  <si>
    <t>ALAT PENUNJANG KEGIATAN KANTOR LAINNYA</t>
  </si>
  <si>
    <t>Karet Gelang hijau 500 gr</t>
  </si>
  <si>
    <t>ALAT/BAHAN UNTUK KEGIATAN KANTOR LAINNYA</t>
  </si>
  <si>
    <t>gunting</t>
  </si>
  <si>
    <t>000035</t>
  </si>
  <si>
    <t>VBH2018-BL</t>
  </si>
  <si>
    <t>000036</t>
  </si>
  <si>
    <t>VBH2018-HR</t>
  </si>
  <si>
    <t>000037</t>
  </si>
  <si>
    <t>VBH2018-LK</t>
  </si>
  <si>
    <t>000038</t>
  </si>
  <si>
    <t>VBH2018-KK</t>
  </si>
  <si>
    <t>000039</t>
  </si>
  <si>
    <t>VBH2018-BLP</t>
  </si>
  <si>
    <t>000040</t>
  </si>
  <si>
    <t>VBH2018-HRP</t>
  </si>
  <si>
    <t>000041</t>
  </si>
  <si>
    <t>VBH2018-S</t>
  </si>
  <si>
    <t>Alat Pengharum Ruangan</t>
  </si>
  <si>
    <t>Roll Up Banner SP2020</t>
  </si>
  <si>
    <t>Pedoman Pengolahan</t>
  </si>
  <si>
    <t>Kuesioner VSEN20.K</t>
  </si>
  <si>
    <t>Kuesioner VSEN20.KP</t>
  </si>
  <si>
    <t>Tas Petugas SP2020</t>
  </si>
  <si>
    <t>Rompi Petugas SP2020</t>
  </si>
  <si>
    <t>Splash Bottle Tullipware</t>
  </si>
  <si>
    <t>Spanduk Ukuran 3,5 x 1,5 m</t>
  </si>
  <si>
    <t>Poster Art Paper A3</t>
  </si>
  <si>
    <t>Poster Art Paper A4</t>
  </si>
  <si>
    <t>Penghapus Petugas SP 2020</t>
  </si>
  <si>
    <t>Pisau Peruncing Pensil Petugas SP 2020</t>
  </si>
  <si>
    <t>Pensil Petugas SP 2020</t>
  </si>
  <si>
    <t>Name Tag Petugas SP 2020</t>
  </si>
  <si>
    <t>Pulpen Petugas SP 2020</t>
  </si>
  <si>
    <t>Block Note Petugas SP 2020</t>
  </si>
  <si>
    <t>Papan Alat Menulis Petugas SP 2020</t>
  </si>
  <si>
    <t>000248</t>
  </si>
  <si>
    <t>Mouse Pad Bergambar R-7</t>
  </si>
  <si>
    <t>000290</t>
  </si>
  <si>
    <t>Kalender Dinding</t>
  </si>
  <si>
    <t>000291</t>
  </si>
  <si>
    <t>Buku Kerja</t>
  </si>
  <si>
    <t>000292</t>
  </si>
  <si>
    <t>Kalender Meja</t>
  </si>
  <si>
    <t>000293</t>
  </si>
  <si>
    <t>Kuesioner HP</t>
  </si>
  <si>
    <t>000294</t>
  </si>
  <si>
    <t>Kuesioner HP-JP</t>
  </si>
  <si>
    <t>000295</t>
  </si>
  <si>
    <t>Kuesioner HP-JR</t>
  </si>
  <si>
    <t>000296</t>
  </si>
  <si>
    <t>Kuesioner HP-JS</t>
  </si>
  <si>
    <t>000297</t>
  </si>
  <si>
    <t>Kuesioner HP-JTB</t>
  </si>
  <si>
    <t>000298</t>
  </si>
  <si>
    <t>Kuesioner HP-BG</t>
  </si>
  <si>
    <t>000299</t>
  </si>
  <si>
    <t>Kuesioner Suplemen SHP</t>
  </si>
  <si>
    <t>000300</t>
  </si>
  <si>
    <t>Buku Pedoman Pencacahan SHP</t>
  </si>
  <si>
    <t>000301</t>
  </si>
  <si>
    <t>Buku Pedoman Pemeriksaan SHP</t>
  </si>
  <si>
    <t>000302</t>
  </si>
  <si>
    <t>Register HD 5.1</t>
  </si>
  <si>
    <t>000303</t>
  </si>
  <si>
    <t>Register HD 5.2</t>
  </si>
  <si>
    <t>000304</t>
  </si>
  <si>
    <t>Register HKD</t>
  </si>
  <si>
    <t>000305</t>
  </si>
  <si>
    <t>Kuesioner HD 5.1</t>
  </si>
  <si>
    <t>000306</t>
  </si>
  <si>
    <t>Kuesioner HD 5.2</t>
  </si>
  <si>
    <t>000307</t>
  </si>
  <si>
    <t>Kuesioner HKD 1</t>
  </si>
  <si>
    <t>000308</t>
  </si>
  <si>
    <t>Kuesioner HKD 2.1</t>
  </si>
  <si>
    <t>000309</t>
  </si>
  <si>
    <t>Kuesioner HKD 2.2</t>
  </si>
  <si>
    <t>000310</t>
  </si>
  <si>
    <t>Pedoman Konsumsi (HKD)</t>
  </si>
  <si>
    <t>000311</t>
  </si>
  <si>
    <t>Pedoman Produksi (HD)</t>
  </si>
  <si>
    <t>000312</t>
  </si>
  <si>
    <t>000313</t>
  </si>
  <si>
    <t>Kuesioner RPH/TPH</t>
  </si>
  <si>
    <t>000314</t>
  </si>
  <si>
    <t>Daftar KPPT 2022</t>
  </si>
  <si>
    <t>000315</t>
  </si>
  <si>
    <t>Daftar SUB-S Ubinan</t>
  </si>
  <si>
    <t>000316</t>
  </si>
  <si>
    <t>Daftar SP-Palawija</t>
  </si>
  <si>
    <t>000317</t>
  </si>
  <si>
    <t>Daftar SP-Lahan, SP-Alsintan TP, SP-Benih TP</t>
  </si>
  <si>
    <t>000318</t>
  </si>
  <si>
    <t>Rekap Kab/Kota SP Tanaman Pangan</t>
  </si>
  <si>
    <t>000319</t>
  </si>
  <si>
    <t>Kuesioner STPIM-IIA (2021)</t>
  </si>
  <si>
    <t>000320</t>
  </si>
  <si>
    <t>Kuesioner STPIM-KP (2021)</t>
  </si>
  <si>
    <t>000321</t>
  </si>
  <si>
    <t>000322</t>
  </si>
  <si>
    <t>Surat Pengantar Survei IBS</t>
  </si>
  <si>
    <t>000323</t>
  </si>
  <si>
    <t>Amplop Coklat Survei IBS (1)</t>
  </si>
  <si>
    <t>000324</t>
  </si>
  <si>
    <t>Leaflet IBS Tahunan</t>
  </si>
  <si>
    <t>000325</t>
  </si>
  <si>
    <t>Piagam Penghargaan dan Tas Biru IBS Bulanan</t>
  </si>
  <si>
    <t>000326</t>
  </si>
  <si>
    <t>Brosur Survei IBS Bulanan</t>
  </si>
  <si>
    <t>000327</t>
  </si>
  <si>
    <t>Leaflet Survei IBS Bulanan</t>
  </si>
  <si>
    <t>000328</t>
  </si>
  <si>
    <t>Buku 1-Pedoman Teknis</t>
  </si>
  <si>
    <t>000329</t>
  </si>
  <si>
    <t>Buku 2B Koseka CAPI</t>
  </si>
  <si>
    <t>000330</t>
  </si>
  <si>
    <t>Buku 3B Kortim CAPI</t>
  </si>
  <si>
    <t>000331</t>
  </si>
  <si>
    <t>Buku 4B Petugas Pendataan Lapangan CAPI</t>
  </si>
  <si>
    <t>000332</t>
  </si>
  <si>
    <t>Buku 6 Pelatihan</t>
  </si>
  <si>
    <t>000333</t>
  </si>
  <si>
    <t>Kuesioner SP 2020-C2</t>
  </si>
  <si>
    <t>000334</t>
  </si>
  <si>
    <t>Kuesioner SP2020-V</t>
  </si>
  <si>
    <t>000335</t>
  </si>
  <si>
    <t>Kuesioner SKTH-21</t>
  </si>
  <si>
    <t>000336</t>
  </si>
  <si>
    <t>Kuesioner SKTR-22</t>
  </si>
  <si>
    <t>000337</t>
  </si>
  <si>
    <t>Surat Pengantar BPS</t>
  </si>
  <si>
    <t>000340</t>
  </si>
  <si>
    <t>Kaos Berkerah ST2023</t>
  </si>
  <si>
    <t>000341</t>
  </si>
  <si>
    <t>Kemeja Lengan Panjang ST2023</t>
  </si>
  <si>
    <t>000342</t>
  </si>
  <si>
    <t>Kardus Box Batching Uk 36x26x10 cm</t>
  </si>
  <si>
    <t>000343</t>
  </si>
  <si>
    <t>Kuesioner V.SEN KP 2023</t>
  </si>
  <si>
    <t>000344</t>
  </si>
  <si>
    <t>Kuesioner V.SEN K 2023</t>
  </si>
  <si>
    <t>000345</t>
  </si>
  <si>
    <t>Kabel Jaringan</t>
  </si>
  <si>
    <t>000346</t>
  </si>
  <si>
    <t>Konektor</t>
  </si>
  <si>
    <t>000347</t>
  </si>
  <si>
    <t>Kuesioner UTP</t>
  </si>
  <si>
    <t>000348</t>
  </si>
  <si>
    <t>Kuesioner UTB</t>
  </si>
  <si>
    <t>000349</t>
  </si>
  <si>
    <t>Penghapus ST2023</t>
  </si>
  <si>
    <t>000350</t>
  </si>
  <si>
    <t>Clipboard Kayu</t>
  </si>
  <si>
    <t>000351</t>
  </si>
  <si>
    <t>Ballpoint Petugas ST2023</t>
  </si>
  <si>
    <t>000352</t>
  </si>
  <si>
    <t>Rautan Petugas ST2023</t>
  </si>
  <si>
    <t>000353</t>
  </si>
  <si>
    <t>Name Tag Petugas ST2023</t>
  </si>
  <si>
    <t>000354</t>
  </si>
  <si>
    <t>Pensil Petugas ST2023</t>
  </si>
  <si>
    <t>000355</t>
  </si>
  <si>
    <t>Blocknote Petugas ST2023</t>
  </si>
  <si>
    <t>000356</t>
  </si>
  <si>
    <t>Map Plastik petugas ST2023</t>
  </si>
  <si>
    <t>000357</t>
  </si>
  <si>
    <t>Topi Petugas ST2023</t>
  </si>
  <si>
    <t>000358</t>
  </si>
  <si>
    <t>Kuesioner UTL</t>
  </si>
  <si>
    <t>000359</t>
  </si>
  <si>
    <t>Buku Pedoman 2a.1</t>
  </si>
  <si>
    <t>000360</t>
  </si>
  <si>
    <t>Buku Pedoman 3a.1</t>
  </si>
  <si>
    <t>000361</t>
  </si>
  <si>
    <t>Buku pedoman 2b</t>
  </si>
  <si>
    <t>000362</t>
  </si>
  <si>
    <t>Buku Pedoman 3b</t>
  </si>
  <si>
    <t>000363</t>
  </si>
  <si>
    <t>Buku Pedoman 2c</t>
  </si>
  <si>
    <t>000364</t>
  </si>
  <si>
    <t>Buku Pedoman 3c</t>
  </si>
  <si>
    <t>000365</t>
  </si>
  <si>
    <t>Kuesioner Regsosek K</t>
  </si>
  <si>
    <t>000366</t>
  </si>
  <si>
    <t>Kuesioner HP 2023</t>
  </si>
  <si>
    <t>000367</t>
  </si>
  <si>
    <t>Kuesioner HP BG</t>
  </si>
  <si>
    <t>000368</t>
  </si>
  <si>
    <t>Kuesioner HP-JLP</t>
  </si>
  <si>
    <t>000369</t>
  </si>
  <si>
    <t>000370</t>
  </si>
  <si>
    <t>Kuesioner HP-JTL (Angkutan Laut)</t>
  </si>
  <si>
    <t>000371</t>
  </si>
  <si>
    <t>Kuesioner HP-JTB (Angkutan Laut)</t>
  </si>
  <si>
    <t>000372</t>
  </si>
  <si>
    <t>000373</t>
  </si>
  <si>
    <t>000374</t>
  </si>
  <si>
    <t>Kuesioner SHPI</t>
  </si>
  <si>
    <t>000375</t>
  </si>
  <si>
    <t>Kuesioner Suplemen HP</t>
  </si>
  <si>
    <t>000376</t>
  </si>
  <si>
    <t>Kuesioner HKD-5.1</t>
  </si>
  <si>
    <t>000377</t>
  </si>
  <si>
    <t>Kuesioner HKD-5.2</t>
  </si>
  <si>
    <t>000378</t>
  </si>
  <si>
    <t>Kuesioner HKD-1</t>
  </si>
  <si>
    <t>000379</t>
  </si>
  <si>
    <t>Kuesioner HKD-2.1</t>
  </si>
  <si>
    <t>000380</t>
  </si>
  <si>
    <t>Kuesioner HKD-2.2</t>
  </si>
  <si>
    <t>000381</t>
  </si>
  <si>
    <t>000382</t>
  </si>
  <si>
    <t>000383</t>
  </si>
  <si>
    <t>Buku Pedoman pencacahan SHPBG</t>
  </si>
  <si>
    <t>000384</t>
  </si>
  <si>
    <t>Buku Pedoman Pemeriksaan SHPBG</t>
  </si>
  <si>
    <t>000385</t>
  </si>
  <si>
    <t>Buku Pedoman Survei Harga Konsumen Perdesaan 2023</t>
  </si>
  <si>
    <t>000386</t>
  </si>
  <si>
    <t>Buku Pedoman Survei Harga Produsen Perdesaan 2023</t>
  </si>
  <si>
    <t>000387</t>
  </si>
  <si>
    <t>Buku Pedoman Pengolahan Nilai Tukar Petani 2023</t>
  </si>
  <si>
    <t>000388</t>
  </si>
  <si>
    <t>Daftar Sub-S survei Ubinan</t>
  </si>
  <si>
    <t>000389</t>
  </si>
  <si>
    <t>Daftar SP Palawija</t>
  </si>
  <si>
    <t>000390</t>
  </si>
  <si>
    <t>Daftar SP Lahan, SP Alsintan, SP Benih</t>
  </si>
  <si>
    <t>000391</t>
  </si>
  <si>
    <t>Rekap Kab/Kota Tanaman Barang</t>
  </si>
  <si>
    <t>000392</t>
  </si>
  <si>
    <t>Kuesioner SAK.FEB23-AK</t>
  </si>
  <si>
    <t>000393</t>
  </si>
  <si>
    <t>Buku pedoman Pencacahan Sakernas 2023</t>
  </si>
  <si>
    <t>000394</t>
  </si>
  <si>
    <t>Buku Pedoman Pemeriksaan Sakernas 2023</t>
  </si>
  <si>
    <t>000395</t>
  </si>
  <si>
    <t>Buku Kode Sakernas 2023</t>
  </si>
  <si>
    <t>000396</t>
  </si>
  <si>
    <t>Buku 1 Pedoman Kepala</t>
  </si>
  <si>
    <t>000397</t>
  </si>
  <si>
    <t>Buku 2 Pedoman Pencacah</t>
  </si>
  <si>
    <t>000398</t>
  </si>
  <si>
    <t>Buku 3 Pedoman Pengawas</t>
  </si>
  <si>
    <t>000399</t>
  </si>
  <si>
    <t>Buku 4 Konsep Defenisi</t>
  </si>
  <si>
    <t>000400</t>
  </si>
  <si>
    <t>Buku 5 Pemanfaatan Data Susenas</t>
  </si>
  <si>
    <t>000401</t>
  </si>
  <si>
    <t>Kuesioner VSEN23.K</t>
  </si>
  <si>
    <t>000402</t>
  </si>
  <si>
    <t>Kuesioner VSEN23.KP</t>
  </si>
  <si>
    <t>000403</t>
  </si>
  <si>
    <t>Kuesioner VSEN23.P</t>
  </si>
  <si>
    <t>Kuesioner VSEN23.DSRT</t>
  </si>
  <si>
    <t>000405</t>
  </si>
  <si>
    <t>Kuesioner VSEN23.MHU</t>
  </si>
  <si>
    <t>000406</t>
  </si>
  <si>
    <t>Kuesioner VSERUTI23.INTI</t>
  </si>
  <si>
    <t>000408</t>
  </si>
  <si>
    <t xml:space="preserve">Leaflet Susenas </t>
  </si>
  <si>
    <t>000409</t>
  </si>
  <si>
    <t>Buku Pedoman SKTNP Barang</t>
  </si>
  <si>
    <t>000410</t>
  </si>
  <si>
    <t>Buku Pedoman SKTNP Jasa</t>
  </si>
  <si>
    <t>000411</t>
  </si>
  <si>
    <t>Kuesioner SKTNP Barang</t>
  </si>
  <si>
    <t>000412</t>
  </si>
  <si>
    <t>Kuesioner SKTNP Jasa</t>
  </si>
  <si>
    <t>000413</t>
  </si>
  <si>
    <t>000414</t>
  </si>
  <si>
    <t>Pedoman Pencacahan SHPI</t>
  </si>
  <si>
    <t>000415</t>
  </si>
  <si>
    <t>Pedoman Pemeriksaan SHPI</t>
  </si>
  <si>
    <t>000416</t>
  </si>
  <si>
    <t>Kuesioner VIMK</t>
  </si>
  <si>
    <t>000417</t>
  </si>
  <si>
    <t>Lembar Klasifikasi dan Kasus Batas IMK</t>
  </si>
  <si>
    <t>000418</t>
  </si>
  <si>
    <t>Kuesioner Updating Direktori Perusahaan Pertambangan dan Energi</t>
  </si>
  <si>
    <t>000419</t>
  </si>
  <si>
    <t>Kuesioner Survei Tahunan Perusahaan Pertambangan Non Migas</t>
  </si>
  <si>
    <t>000420</t>
  </si>
  <si>
    <t>Kuesioner Survei Captive Power</t>
  </si>
  <si>
    <t>000421</t>
  </si>
  <si>
    <t>Pedoman Pencacahan Survei Pertambangan dan Energi</t>
  </si>
  <si>
    <t>000422</t>
  </si>
  <si>
    <t>Kuesioner PAW 2023</t>
  </si>
  <si>
    <t>000423</t>
  </si>
  <si>
    <t>Buku Pedoman PAW 2023</t>
  </si>
  <si>
    <t>000424</t>
  </si>
  <si>
    <t>Kuesioner Survei Poldis 2023</t>
  </si>
  <si>
    <t>000425</t>
  </si>
  <si>
    <t>Buku Pedoman Survei Poldis 2023</t>
  </si>
  <si>
    <t>000426</t>
  </si>
  <si>
    <t>Kuesioner STKU-G 2023</t>
  </si>
  <si>
    <t>000427</t>
  </si>
  <si>
    <t>Kuesioner STKU-H 2023</t>
  </si>
  <si>
    <t>000428</t>
  </si>
  <si>
    <t>Kueisoner STKU-J 2023</t>
  </si>
  <si>
    <t>000429</t>
  </si>
  <si>
    <t>Kueisoner STKU-K 2023</t>
  </si>
  <si>
    <t>000430</t>
  </si>
  <si>
    <t>Buku Pedoman Pencacahan SPDT</t>
  </si>
  <si>
    <t>000431</t>
  </si>
  <si>
    <t>Buku Pedoman Pemeriksaaan SPDT</t>
  </si>
  <si>
    <t>000432</t>
  </si>
  <si>
    <t>Kuesioner SKNP</t>
  </si>
  <si>
    <t>000433</t>
  </si>
  <si>
    <t>Pedoman SKNP</t>
  </si>
  <si>
    <t>000434</t>
  </si>
  <si>
    <t>Ballpoint Peserta FKP</t>
  </si>
  <si>
    <t>000435</t>
  </si>
  <si>
    <t>Kuesioner Koperasi Simpan Pinjam (VSLK23-KSP)</t>
  </si>
  <si>
    <t>000436</t>
  </si>
  <si>
    <t>Kuesioner Pedagang Valuta Asing (VSLK23-VALAS)</t>
  </si>
  <si>
    <t>000437</t>
  </si>
  <si>
    <t>Surat Pengantar SLK</t>
  </si>
  <si>
    <t>000438</t>
  </si>
  <si>
    <t>Kuesioner SKLNPRT</t>
  </si>
  <si>
    <t>000439</t>
  </si>
  <si>
    <t>Kuesioner STPIM-IIA</t>
  </si>
  <si>
    <t>000440</t>
  </si>
  <si>
    <t>Kartu Kendali IBS Tahunan</t>
  </si>
  <si>
    <t>000441</t>
  </si>
  <si>
    <t>Amplop Coklat Survei IBS</t>
  </si>
  <si>
    <t>000442</t>
  </si>
  <si>
    <t>Kueisoner SKTH</t>
  </si>
  <si>
    <t>000443</t>
  </si>
  <si>
    <t>Kuesioner SKTR</t>
  </si>
  <si>
    <t>000444</t>
  </si>
  <si>
    <t>Sampel Usaha Konstruksi Perorangan</t>
  </si>
  <si>
    <t>000445</t>
  </si>
  <si>
    <t>000446</t>
  </si>
  <si>
    <t>Kuesioner Dinas MI02-Hortikultura</t>
  </si>
  <si>
    <t>000447</t>
  </si>
  <si>
    <t>Kuesioner Dinas MI03-Hewan</t>
  </si>
  <si>
    <t>000448</t>
  </si>
  <si>
    <t>Kuesioner Dinas MI09-IMB</t>
  </si>
  <si>
    <t>000449</t>
  </si>
  <si>
    <t>Kuesioner Korporasi Finansial MIP-01</t>
  </si>
  <si>
    <t>000450</t>
  </si>
  <si>
    <t>Kuesioner Korporasi Non Finansial MIP-02</t>
  </si>
  <si>
    <t>000451</t>
  </si>
  <si>
    <t>Kuesioner Rumah Tangga MI-RT</t>
  </si>
  <si>
    <t>000452</t>
  </si>
  <si>
    <t>Kuesioner LNPRTNMI-LNPRT</t>
  </si>
  <si>
    <t>000453</t>
  </si>
  <si>
    <t>Buku Pedoman FKP</t>
  </si>
  <si>
    <t>000454</t>
  </si>
  <si>
    <t>Buku Pedoman Fasilitator FKP</t>
  </si>
  <si>
    <t>000455</t>
  </si>
  <si>
    <t>Cue Card Asisten Fasilitator FKP</t>
  </si>
  <si>
    <t>000456</t>
  </si>
  <si>
    <t>Alat Peraga</t>
  </si>
  <si>
    <t>000457</t>
  </si>
  <si>
    <t>Spanduk ST 2023 Ukuran 3x1 meter</t>
  </si>
  <si>
    <t>000458</t>
  </si>
  <si>
    <t>Stiker Spanduk ST2023</t>
  </si>
  <si>
    <t>000459</t>
  </si>
  <si>
    <t>Standing Banner ST2023</t>
  </si>
  <si>
    <t>000460</t>
  </si>
  <si>
    <t>Stiker Standing Banner ST2023</t>
  </si>
  <si>
    <t>000461</t>
  </si>
  <si>
    <t>Power Bank ST2023</t>
  </si>
  <si>
    <t>000462</t>
  </si>
  <si>
    <t>Topi ST 2023 Tambahan</t>
  </si>
  <si>
    <t>000463</t>
  </si>
  <si>
    <t>Thumbler ST2023</t>
  </si>
  <si>
    <t>000464</t>
  </si>
  <si>
    <t>Payung ST2023</t>
  </si>
  <si>
    <t>000465</t>
  </si>
  <si>
    <t>Kaos ST2023</t>
  </si>
  <si>
    <t>000466</t>
  </si>
  <si>
    <t>Goodie Bag Spunbound ST2023</t>
  </si>
  <si>
    <t>000467</t>
  </si>
  <si>
    <t>Leaflet ST2023 Trifold</t>
  </si>
  <si>
    <t>000468</t>
  </si>
  <si>
    <t>Stiker Leaflet ST2023</t>
  </si>
  <si>
    <t>000469</t>
  </si>
  <si>
    <t>Poster ST2023 A3</t>
  </si>
  <si>
    <t>000470</t>
  </si>
  <si>
    <t>Stiker Poster ST2023</t>
  </si>
  <si>
    <t>000471</t>
  </si>
  <si>
    <t>Kuesioner VREST-UMB</t>
  </si>
  <si>
    <t>000472</t>
  </si>
  <si>
    <t>Buku Pedoman VREST</t>
  </si>
  <si>
    <t>000473</t>
  </si>
  <si>
    <t>000474</t>
  </si>
  <si>
    <t>Kuesioner VSERUTI23.MAK</t>
  </si>
  <si>
    <t>000475</t>
  </si>
  <si>
    <t>Kuesioner SKSPPI</t>
  </si>
  <si>
    <t>000476</t>
  </si>
  <si>
    <t>Buku Pedoman SKSPPI</t>
  </si>
  <si>
    <t>000477</t>
  </si>
  <si>
    <t>Kuesioner VDTW</t>
  </si>
  <si>
    <t>000478</t>
  </si>
  <si>
    <t>Buku Pedoman VDTW</t>
  </si>
  <si>
    <t>000479</t>
  </si>
  <si>
    <t>Kuesioner VHTL</t>
  </si>
  <si>
    <t>000480</t>
  </si>
  <si>
    <t>Buku Pedoman VHTL</t>
  </si>
  <si>
    <t>000481</t>
  </si>
  <si>
    <t>Prelist Verifikasi regsosek</t>
  </si>
  <si>
    <t>000482</t>
  </si>
  <si>
    <t>Formulir tambahan RT</t>
  </si>
  <si>
    <t>000483</t>
  </si>
  <si>
    <t>Surat Pengantar Survei Tahunan Perusahaan Pertambangan Non Migas</t>
  </si>
  <si>
    <t>000484</t>
  </si>
  <si>
    <t>Surat Pengantar Survei Captive Power</t>
  </si>
  <si>
    <t>000485</t>
  </si>
  <si>
    <t>Pedoman Survei Konstruksi</t>
  </si>
  <si>
    <t>000486</t>
  </si>
  <si>
    <t>Rekomendasi PU Survei Konstruksi</t>
  </si>
  <si>
    <t>000487</t>
  </si>
  <si>
    <t>Kartu Kendali Survei Konstruksi</t>
  </si>
  <si>
    <t>000488</t>
  </si>
  <si>
    <t>Tanda Terima Dokumen Survei Konstruksi</t>
  </si>
  <si>
    <t>000489</t>
  </si>
  <si>
    <t>Leaflet Statsitik Konstruksi</t>
  </si>
  <si>
    <t>000490</t>
  </si>
  <si>
    <t>Kuesioner SKLNP</t>
  </si>
  <si>
    <t>000491</t>
  </si>
  <si>
    <t>Pedoman SKLNP</t>
  </si>
  <si>
    <t>000492</t>
  </si>
  <si>
    <t>Kuesioner NTA</t>
  </si>
  <si>
    <t>000493</t>
  </si>
  <si>
    <t>Lembar Tambahan NTA</t>
  </si>
  <si>
    <t>000494</t>
  </si>
  <si>
    <t>Pedoman NTA</t>
  </si>
  <si>
    <t>000495</t>
  </si>
  <si>
    <t>Kuesioner SKPS</t>
  </si>
  <si>
    <t>000496</t>
  </si>
  <si>
    <t>Pedoman SKPS</t>
  </si>
  <si>
    <t>000497</t>
  </si>
  <si>
    <t>Kuesioner Lap Tahunan Perusahaan Penangkapan Ikan (Daftar-LTP)</t>
  </si>
  <si>
    <t>000498</t>
  </si>
  <si>
    <t>Kuesioner Lap Triwulan Pelabuhan Perikanan dan Tempat Pelelangan Ikan (Daftar PP-TPI)</t>
  </si>
  <si>
    <t>000499</t>
  </si>
  <si>
    <t>Kuesioner Survei Perusahaan Penangkaran Tumbuhan/Satwa Liar</t>
  </si>
  <si>
    <t>000500</t>
  </si>
  <si>
    <t>Kuesioner SEEA</t>
  </si>
  <si>
    <t>000501</t>
  </si>
  <si>
    <t>Kuesioner SAK.AGS23-AK</t>
  </si>
  <si>
    <t>000502</t>
  </si>
  <si>
    <t>Buku Pedoman Pencacahan SAK Agustus 2023</t>
  </si>
  <si>
    <t>000503</t>
  </si>
  <si>
    <t>Buku Pedoman Pengawasan SAK Agustus 2023</t>
  </si>
  <si>
    <t>000504</t>
  </si>
  <si>
    <t>Buku Pedoman Kode Lap SAK Agustus 2023</t>
  </si>
  <si>
    <t>000505</t>
  </si>
  <si>
    <t>Kuesioner SAK.EASLS-AK</t>
  </si>
  <si>
    <t>000506</t>
  </si>
  <si>
    <t>Buku Pedoman Pencacahan Studi Enumeration SLS</t>
  </si>
  <si>
    <t>000507</t>
  </si>
  <si>
    <t>Buku Pedoman Pemeriksaan Studi Enumeration SLS</t>
  </si>
  <si>
    <t>000508</t>
  </si>
  <si>
    <t>Buku Kode Studi Enumeration SLS</t>
  </si>
  <si>
    <t>000509</t>
  </si>
  <si>
    <t>Kueisoner V-SKU</t>
  </si>
  <si>
    <t>000510</t>
  </si>
  <si>
    <t>Kueisoner BUMD</t>
  </si>
  <si>
    <t>000511</t>
  </si>
  <si>
    <t>Power Bank Petugas SBR</t>
  </si>
  <si>
    <t>000512</t>
  </si>
  <si>
    <t>Kuesioner Survei Karakteristik Petani (SKP)</t>
  </si>
  <si>
    <t>000514</t>
  </si>
  <si>
    <t>Buku Pedoman Pencacahan SKP</t>
  </si>
  <si>
    <t>000515</t>
  </si>
  <si>
    <t>Buku Pedoman Pengawasan SKP</t>
  </si>
  <si>
    <t>000516</t>
  </si>
  <si>
    <t>Kuesioner Susenas Seruti VSERUTI23.INTI</t>
  </si>
  <si>
    <t>000517</t>
  </si>
  <si>
    <t>Kuesioner Susenas Seruti VSERUTI23.MAK</t>
  </si>
  <si>
    <t>000518</t>
  </si>
  <si>
    <t>Kuesioner VIMK23-L2</t>
  </si>
  <si>
    <t>000519</t>
  </si>
  <si>
    <t>Kuesioner VIMK23-S2</t>
  </si>
  <si>
    <t>000520</t>
  </si>
  <si>
    <t>Kuesioner Komuter KMT23.K</t>
  </si>
  <si>
    <t>000521</t>
  </si>
  <si>
    <t>Kuesioner Susenas Seruti VSERUTI23.INTI OKT</t>
  </si>
  <si>
    <t>000522</t>
  </si>
  <si>
    <t>Kuesioner Susenas Seruti VSERUTI23.MAK OKT</t>
  </si>
  <si>
    <t>000523</t>
  </si>
  <si>
    <t>Publikasi Statistik Kesehjahteraan Rakyat Kota Jakut 2022 BPS Kota Jakut</t>
  </si>
  <si>
    <t>000524</t>
  </si>
  <si>
    <t>Publikasi Keadaan Angkatan Kerja Kota Jakarta Utara</t>
  </si>
  <si>
    <t>000525</t>
  </si>
  <si>
    <t>Publikasi Statistik Daerah Kota Jakarta Utara 2022</t>
  </si>
  <si>
    <t>000526</t>
  </si>
  <si>
    <t>Publikasi PDRB Pengeluaran 2018-2022 BPS Kota Jakut</t>
  </si>
  <si>
    <t>000527</t>
  </si>
  <si>
    <t>Publikasi Indikator Kesehjahteraan Rakyat Kota Jakut 2022</t>
  </si>
  <si>
    <t>000528</t>
  </si>
  <si>
    <t>Publikasi JUDA/DDA (Jakarta Utara Dalam Angka) 2023</t>
  </si>
  <si>
    <t>000529</t>
  </si>
  <si>
    <t>Publikasi PDRB Lapangan Usaha 2018-2022</t>
  </si>
  <si>
    <t>000530</t>
  </si>
  <si>
    <t>Box Arsip Bag Umum</t>
  </si>
  <si>
    <t>000531</t>
  </si>
  <si>
    <t>Casio Calculator</t>
  </si>
  <si>
    <t>000532</t>
  </si>
  <si>
    <t>Buku Hasil Pencacahan Lengkap ST2023 Kota Jakarat Utara Tahap 1</t>
  </si>
  <si>
    <t>000533</t>
  </si>
  <si>
    <t>Leaflet Hasil Pencacahan Lengkap ST2023 Kota Jakut Tahap 1</t>
  </si>
  <si>
    <t>000534</t>
  </si>
  <si>
    <t>Buklet Hasil Pencacahan Lengkap ST2023 Kota Jakut Tahap 1</t>
  </si>
  <si>
    <t>000535</t>
  </si>
  <si>
    <t>Jakarta Selatan dalam Angka 2023</t>
  </si>
  <si>
    <t>000536</t>
  </si>
  <si>
    <t>Kuesioner HP 2024</t>
  </si>
  <si>
    <t>000537</t>
  </si>
  <si>
    <t>Kuesioner HP-JA 2024</t>
  </si>
  <si>
    <t>000538</t>
  </si>
  <si>
    <t>Kuesioner HP-JG 2024</t>
  </si>
  <si>
    <t>000539</t>
  </si>
  <si>
    <t>Kuesioner HP-JP 2024</t>
  </si>
  <si>
    <t>000540</t>
  </si>
  <si>
    <t>Kuesioner HP-JR 2024</t>
  </si>
  <si>
    <t>000541</t>
  </si>
  <si>
    <t>Kuesioner HP-JS 2024</t>
  </si>
  <si>
    <t>000542</t>
  </si>
  <si>
    <t>Kuesioner HP-JTB 2024</t>
  </si>
  <si>
    <t>000543</t>
  </si>
  <si>
    <t>Kuesioner HP-JTL 2024</t>
  </si>
  <si>
    <t>000544</t>
  </si>
  <si>
    <t>Suplemen 2024</t>
  </si>
  <si>
    <t>000545</t>
  </si>
  <si>
    <t>Pedoman Pencacahan Survei Harga Produsen 2024</t>
  </si>
  <si>
    <t>000546</t>
  </si>
  <si>
    <t>Pedoman Pemeriksaan Survei Harga Produsen 2024</t>
  </si>
  <si>
    <t>000547</t>
  </si>
  <si>
    <t>Kuesioner HKD 5.1 2024</t>
  </si>
  <si>
    <t>000548</t>
  </si>
  <si>
    <t>Kuesioner HKD 5.2 2024</t>
  </si>
  <si>
    <t>000549</t>
  </si>
  <si>
    <t>Buku Pedoman Konsumsi 2024</t>
  </si>
  <si>
    <t>000550</t>
  </si>
  <si>
    <t>Buku Pedoman Pengolahan 2024</t>
  </si>
  <si>
    <t>000551</t>
  </si>
  <si>
    <t>Buku Pedoman Produksi 2024</t>
  </si>
  <si>
    <t>000552</t>
  </si>
  <si>
    <t>Kuesioner Susenas VSEN24.K</t>
  </si>
  <si>
    <t>000553</t>
  </si>
  <si>
    <t>Kuesioner Susenas VSEN24.KP</t>
  </si>
  <si>
    <t>000554</t>
  </si>
  <si>
    <t>Buku Kasus Batas KBLI 2000 Tahun 2024</t>
  </si>
  <si>
    <t>000555</t>
  </si>
  <si>
    <t>Daftar Sub-S Ubinan 2024</t>
  </si>
  <si>
    <t>000556</t>
  </si>
  <si>
    <t>Daftar SP-Palawija 2024</t>
  </si>
  <si>
    <t>000557</t>
  </si>
  <si>
    <t>Daftar SP-lahan, SP-Alsintan TP, SP Benih TP 2024</t>
  </si>
  <si>
    <t>000558</t>
  </si>
  <si>
    <t>Rekapitulasi Kab/Kota SP Tanaman Pangan 2024</t>
  </si>
  <si>
    <t>000559</t>
  </si>
  <si>
    <t>Daftar LTB 2024</t>
  </si>
  <si>
    <t>000560</t>
  </si>
  <si>
    <t>Daftar LTP 2024</t>
  </si>
  <si>
    <t>000561</t>
  </si>
  <si>
    <t>Daftar PP-TPI 2024</t>
  </si>
  <si>
    <t>000562</t>
  </si>
  <si>
    <t>Kuesioner Survei Perusahaan Penangkaran Tumbuhan/Satwa Liar 2024</t>
  </si>
  <si>
    <t>000563</t>
  </si>
  <si>
    <t>Kuesioner Seruti Inti VSERUTI24.INTI</t>
  </si>
  <si>
    <t>000564</t>
  </si>
  <si>
    <t>Kuesioner Susenas VSEN24.P</t>
  </si>
  <si>
    <t>000565</t>
  </si>
  <si>
    <t>Kuesioner VSEN24.DSRT</t>
  </si>
  <si>
    <t>000566</t>
  </si>
  <si>
    <t>Kuesioner Susenas VSEN24.MHU</t>
  </si>
  <si>
    <t>000567</t>
  </si>
  <si>
    <t>Kalender Dinding 2024</t>
  </si>
  <si>
    <t>000568</t>
  </si>
  <si>
    <t>Kalender Meja 2024</t>
  </si>
  <si>
    <t>000569</t>
  </si>
  <si>
    <t>Buku Kerja 2024</t>
  </si>
  <si>
    <t>000570</t>
  </si>
  <si>
    <t>Kuesioner SKTR 2024</t>
  </si>
  <si>
    <t>000339</t>
  </si>
  <si>
    <t>000664</t>
  </si>
  <si>
    <t>Kuesioner VSERUTI25.Inti Briefing Triwulan IV</t>
  </si>
  <si>
    <t>000665</t>
  </si>
  <si>
    <t>Kuesioner VSERUTI25.Inti Pelaksanaan Triwulan IV</t>
  </si>
  <si>
    <t>0006670</t>
  </si>
  <si>
    <t>Suplemen SHP Bulanan Tahun 2026</t>
  </si>
  <si>
    <t>000668</t>
  </si>
  <si>
    <t>Kuesioner HPT Bulanan Tahun 2026</t>
  </si>
  <si>
    <t>000669</t>
  </si>
  <si>
    <t>Kuesioner HP Bulanan Tahun 2026</t>
  </si>
  <si>
    <t>000670</t>
  </si>
  <si>
    <t>Kuesioner HP-JLP Bulanan Tahun 2026</t>
  </si>
  <si>
    <t>000671</t>
  </si>
  <si>
    <t>Kuesioner HP-JA Bulanan Tahun 2026</t>
  </si>
  <si>
    <t>000672</t>
  </si>
  <si>
    <t>Kuesioner HP-JTDL Bulanan Tahun 2026</t>
  </si>
  <si>
    <t>000673</t>
  </si>
  <si>
    <t>Kuesioner HP-JTL Bulanan Tahun 2026</t>
  </si>
  <si>
    <t>000674</t>
  </si>
  <si>
    <t>Kuesioner HP-JTB Bulanan Tahun 2026</t>
  </si>
  <si>
    <t>000675</t>
  </si>
  <si>
    <t>Kuesioner HP-JR Bulanan Tahun 2026</t>
  </si>
  <si>
    <t>000676</t>
  </si>
  <si>
    <t>Kuesioner HP-JK Bulanan Tahun 2026</t>
  </si>
  <si>
    <t>000679</t>
  </si>
  <si>
    <t>Kuesioner SUSENAS VSEN26.K</t>
  </si>
  <si>
    <t>000680</t>
  </si>
  <si>
    <t>Kuesioner SUSENAS VSEN26.KP</t>
  </si>
  <si>
    <t>000681</t>
  </si>
  <si>
    <t>Kuesioner SERUTI VSERUTI26.INTI</t>
  </si>
  <si>
    <t>000689</t>
  </si>
  <si>
    <t>Kuesioner Pemutakhiran SNLIK 2026 VSNLIK26.P</t>
  </si>
  <si>
    <t>000690</t>
  </si>
  <si>
    <t>Kuesioner Pendataan SNLIK 2026 VSNLIK26.K</t>
  </si>
  <si>
    <t>000691</t>
  </si>
  <si>
    <t>Buku Pedoman Penjelasan Umum SNLIK 2026</t>
  </si>
  <si>
    <t>000692</t>
  </si>
  <si>
    <t>Buku Konsep dan Defenisi SNLIK 2026</t>
  </si>
  <si>
    <t>000693</t>
  </si>
  <si>
    <t>Showcard SNLIK 2026</t>
  </si>
  <si>
    <t>000694</t>
  </si>
  <si>
    <t>Showcard Buku Pedoman Tahun 2026</t>
  </si>
  <si>
    <t>000695</t>
  </si>
  <si>
    <t>Suplemen Showcard Tahun 2026</t>
  </si>
  <si>
    <t>000696</t>
  </si>
  <si>
    <t>Kalender Dinding 2026</t>
  </si>
  <si>
    <t>000697</t>
  </si>
  <si>
    <t>Kalender Meja 2026</t>
  </si>
  <si>
    <t>000698</t>
  </si>
  <si>
    <t>Buku Kerja 2026</t>
  </si>
  <si>
    <t>000699</t>
  </si>
  <si>
    <t>Daftar SAK FEB26-AK</t>
  </si>
  <si>
    <t>000703</t>
  </si>
  <si>
    <t>Rompi SE2026</t>
  </si>
  <si>
    <t>000704</t>
  </si>
  <si>
    <t>Spidol permanent SE2026</t>
  </si>
  <si>
    <t>000705</t>
  </si>
  <si>
    <t>Stiker SE2026</t>
  </si>
  <si>
    <t>000700</t>
  </si>
  <si>
    <t>Buku Pedoman Pencacahan SAK2026</t>
  </si>
  <si>
    <t>000701</t>
  </si>
  <si>
    <t>Buku Pedoman Pemeriksaan SAK2026</t>
  </si>
  <si>
    <t>000702</t>
  </si>
  <si>
    <t>Buku Kode SAK 2026</t>
  </si>
  <si>
    <t>000682</t>
  </si>
  <si>
    <t>Kuesioner SUSENAS VSEN26.P</t>
  </si>
  <si>
    <t>000683</t>
  </si>
  <si>
    <t>Kuesioner SUSENAS VSEN26.DSRT</t>
  </si>
  <si>
    <t>000684</t>
  </si>
  <si>
    <t>Kuesioner SUSENAS VSEN26.DSLS</t>
  </si>
  <si>
    <t>000685</t>
  </si>
  <si>
    <t>Buku Pedoman Pencacah SUSENAS 2026</t>
  </si>
  <si>
    <t>000686</t>
  </si>
  <si>
    <t>Buku Pedoman Pengawas SUSENAS 2026</t>
  </si>
  <si>
    <t>000687</t>
  </si>
  <si>
    <t>Buku Konsep dan Defenisi SUSENAS 2026</t>
  </si>
  <si>
    <t>000688</t>
  </si>
  <si>
    <t>Buku Pedoman SERUTI 2026</t>
  </si>
  <si>
    <t>000677</t>
  </si>
  <si>
    <t>Kuesioner HP-JP Bulanan Tahun 2026</t>
  </si>
  <si>
    <t>000678</t>
  </si>
  <si>
    <t>Kuesioner HP-JS Bulanan Tahun 2026</t>
  </si>
  <si>
    <t>000666</t>
  </si>
  <si>
    <t>Kuesioner VSERUTI25.MAK Briefing Triwulan IV</t>
  </si>
  <si>
    <t>000667</t>
  </si>
  <si>
    <t>Kuesioner VSERUTI25.MAK Pelaksanaan Triwulan IV</t>
  </si>
  <si>
    <t>000571</t>
  </si>
  <si>
    <t>Kuesioner SKTH 2024</t>
  </si>
  <si>
    <t>000572</t>
  </si>
  <si>
    <t>Amplop coklat Survei Konstruksi 2024</t>
  </si>
  <si>
    <t>000573</t>
  </si>
  <si>
    <t>Surat Pengantar Survei Konstruksi 2024</t>
  </si>
  <si>
    <t>000654</t>
  </si>
  <si>
    <t>Buku Jakarta dalam Angka Tahun 2024</t>
  </si>
  <si>
    <t>000574</t>
  </si>
  <si>
    <t>Kuesioner SLK-KOP 2024</t>
  </si>
  <si>
    <t>000575</t>
  </si>
  <si>
    <t>Kuesioner SLK-VALAS 2024</t>
  </si>
  <si>
    <t>000576</t>
  </si>
  <si>
    <t>Kuesioner BUMD 2024</t>
  </si>
  <si>
    <t>Kalkulator Casio</t>
  </si>
  <si>
    <t>Index Mark Joyko plastik</t>
  </si>
  <si>
    <t>000577</t>
  </si>
  <si>
    <t>Kuesioner Survei Tahunan Perusahaan Pertambangan Non Migas 2024</t>
  </si>
  <si>
    <t>000578</t>
  </si>
  <si>
    <t>Kuesioner Captive Power</t>
  </si>
  <si>
    <t>000579</t>
  </si>
  <si>
    <t>Kuesioner Survei Tahunan Perusahaan Industri Manufaktur 2024</t>
  </si>
  <si>
    <t>000580</t>
  </si>
  <si>
    <t>Kuesioner Survei Komoditas Industri Manufaktur 2024</t>
  </si>
  <si>
    <t>000581</t>
  </si>
  <si>
    <t>Kuesioner Survei Tahunan IMK 2024</t>
  </si>
  <si>
    <t>000582</t>
  </si>
  <si>
    <t>Kuesioner SINASI 2024</t>
  </si>
  <si>
    <t>000583</t>
  </si>
  <si>
    <t>Kuesioner SEEA 2024</t>
  </si>
  <si>
    <t>BARANG PERSEDIAAN</t>
  </si>
  <si>
    <t>Label tom &amp; jerry putih TJ-L.01</t>
  </si>
  <si>
    <t>Label tom &amp; jerry putih no 121</t>
  </si>
  <si>
    <t>Label tom &amp; jerry putih no 105</t>
  </si>
  <si>
    <t>Label tom &amp; jerry putih no 103</t>
  </si>
  <si>
    <t>Juniaty Pardede</t>
  </si>
  <si>
    <t>Favten Ari Pujiastuti</t>
  </si>
  <si>
    <t>Kuasa Pengguna Barang</t>
  </si>
  <si>
    <t>Petugas Pengelola Persediaan</t>
  </si>
  <si>
    <t xml:space="preserve">Disetujui Tanggal : </t>
  </si>
  <si>
    <t>Jakarta, 01-03-2026</t>
  </si>
  <si>
    <t>,- dalam kondisi usang</t>
  </si>
  <si>
    <t>1. Persediaan Senilai</t>
  </si>
  <si>
    <t>,- dalam kondisi rusak</t>
  </si>
  <si>
    <t>Keterangan :</t>
  </si>
  <si>
    <t>Kertas Foto Printech</t>
  </si>
  <si>
    <t>Kode Barang Baru</t>
  </si>
  <si>
    <t>Nama Barang Baru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</si>
</sst>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33FF"/>
      <name val="Calibri"/>
      <scheme val="minor"/>
    </font>
    <font>
      <b val="1"/>
      <i val="0"/>
      <strike val="0"/>
      <u val="none"/>
      <sz val="11"/>
      <color rgb="FF0000FF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9C9C9"/>
        <bgColor rgb="FFFFFFFF"/>
      </patternFill>
    </fill>
  </fills>
  <borders count="35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333333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333333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333333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</borders>
  <cellStyleXfs count="1">
    <xf numFmtId="0" fontId="0" fillId="0" borderId="0"/>
  </cellStyleXfs>
  <cellXfs count="85">
    <xf xfId="0" fontId="0" numFmtId="0" fillId="0" borderId="0" applyFont="0" applyNumberFormat="0" applyFill="0" applyBorder="0" applyAlignment="0"/>
    <xf xfId="0" fontId="0" numFmtId="0" fillId="0" borderId="0" applyFont="0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horizontal="left" vertical="bottom" textRotation="0" wrapText="true" shrinkToFit="false"/>
    </xf>
    <xf xfId="0" fontId="0" numFmtId="0" fillId="0" borderId="0" applyFont="0" applyNumberFormat="0" applyFill="0" applyBorder="0" applyAlignment="1" applyProtection="true">
      <alignment vertical="bottom" textRotation="0" wrapText="true" shrinkToFit="false"/>
      <protection locked="false"/>
    </xf>
    <xf xfId="0" fontId="1" numFmtId="0" fillId="0" borderId="0" applyFont="1" applyNumberFormat="0" applyFill="0" applyBorder="0" applyAlignment="1">
      <alignment vertical="center" textRotation="0" wrapText="true" shrinkToFit="false"/>
    </xf>
    <xf xfId="0" fontId="2" numFmtId="0" fillId="0" borderId="1" applyFont="1" applyNumberFormat="0" applyFill="0" applyBorder="1" applyAlignment="1">
      <alignment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1" numFmtId="0" fillId="2" borderId="3" applyFont="1" applyNumberFormat="0" applyFill="1" applyBorder="1" applyAlignment="1">
      <alignment horizontal="center" vertical="center" textRotation="0" wrapText="false" shrinkToFit="false"/>
    </xf>
    <xf xfId="0" fontId="1" numFmtId="0" fillId="2" borderId="4" applyFont="1" applyNumberFormat="0" applyFill="1" applyBorder="1" applyAlignment="1">
      <alignment horizontal="center" vertical="center" textRotation="0" wrapText="false" shrinkToFit="false"/>
    </xf>
    <xf xfId="0" fontId="1" numFmtId="0" fillId="2" borderId="2" applyFont="1" applyNumberFormat="0" applyFill="1" applyBorder="1" applyAlignment="1">
      <alignment horizontal="center" vertical="center" textRotation="0" wrapText="false" shrinkToFit="false"/>
    </xf>
    <xf xfId="0" fontId="0" numFmtId="3" fillId="0" borderId="5" applyFont="0" applyNumberFormat="1" applyFill="0" applyBorder="1" applyAlignment="1">
      <alignment vertical="center" textRotation="0" wrapText="true" shrinkToFit="false"/>
    </xf>
    <xf xfId="0" fontId="0" numFmtId="3" fillId="0" borderId="6" applyFont="0" applyNumberFormat="1" applyFill="0" applyBorder="1" applyAlignment="1">
      <alignment vertical="center" textRotation="0" wrapText="true" shrinkToFit="false"/>
    </xf>
    <xf xfId="0" fontId="1" numFmtId="0" fillId="0" borderId="7" applyFont="1" applyNumberFormat="0" applyFill="0" applyBorder="1" applyAlignment="1">
      <alignment horizontal="righ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horizontal="right" vertical="bottom" textRotation="0" wrapText="false" shrinkToFit="false"/>
    </xf>
    <xf xfId="0" fontId="0" numFmtId="0" fillId="0" borderId="8" applyFont="0" applyNumberFormat="0" applyFill="0" applyBorder="1" applyAlignment="1">
      <alignment vertical="center" textRotation="0" wrapText="true" shrinkToFit="false"/>
    </xf>
    <xf xfId="0" fontId="0" numFmtId="0" fillId="0" borderId="9" applyFont="0" applyNumberFormat="0" applyFill="0" applyBorder="1" applyAlignment="1">
      <alignment horizontal="right" vertical="center" textRotation="0" wrapText="true" shrinkToFit="false"/>
    </xf>
    <xf xfId="0" fontId="0" numFmtId="0" fillId="0" borderId="10" applyFont="0" applyNumberFormat="0" applyFill="0" applyBorder="1" applyAlignment="1">
      <alignment vertical="center" textRotation="0" wrapText="true" shrinkToFit="false"/>
    </xf>
    <xf xfId="0" fontId="0" numFmtId="3" fillId="0" borderId="11" applyFont="0" applyNumberFormat="1" applyFill="0" applyBorder="1" applyAlignment="1">
      <alignment horizontal="right" vertical="center" textRotation="0" wrapText="true" shrinkToFit="false"/>
    </xf>
    <xf xfId="0" fontId="0" numFmtId="3" fillId="0" borderId="12" applyFont="0" applyNumberFormat="1" applyFill="0" applyBorder="1" applyAlignment="1">
      <alignment horizontal="right" vertical="center" textRotation="0" wrapText="true" shrinkToFit="false"/>
    </xf>
    <xf xfId="0" fontId="0" numFmtId="3" fillId="0" borderId="12" applyFont="0" applyNumberFormat="1" applyFill="0" applyBorder="1" applyAlignment="1">
      <alignment vertical="center" textRotation="0" wrapText="true" shrinkToFit="false"/>
    </xf>
    <xf xfId="0" fontId="0" numFmtId="3" fillId="0" borderId="13" applyFont="0" applyNumberFormat="1" applyFill="0" applyBorder="1" applyAlignment="1">
      <alignment vertical="center" textRotation="0" wrapText="true" shrinkToFit="false"/>
    </xf>
    <xf xfId="0" fontId="0" numFmtId="3" fillId="0" borderId="14" applyFont="0" applyNumberFormat="1" applyFill="0" applyBorder="1" applyAlignment="1">
      <alignment horizontal="right" vertical="center" textRotation="0" wrapText="true" shrinkToFit="false"/>
    </xf>
    <xf xfId="0" fontId="0" numFmtId="3" fillId="0" borderId="9" applyFont="0" applyNumberFormat="1" applyFill="0" applyBorder="1" applyAlignment="1">
      <alignment horizontal="right" vertical="center" textRotation="0" wrapText="true" shrinkToFit="false"/>
    </xf>
    <xf xfId="0" fontId="0" numFmtId="3" fillId="0" borderId="15" applyFont="0" applyNumberFormat="1" applyFill="0" applyBorder="1" applyAlignment="1">
      <alignment vertical="center" textRotation="0" wrapText="true" shrinkToFit="false"/>
    </xf>
    <xf xfId="0" fontId="0" numFmtId="3" fillId="0" borderId="16" applyFont="0" applyNumberFormat="1" applyFill="0" applyBorder="1" applyAlignment="1">
      <alignment vertical="center" textRotation="0" wrapText="true" shrinkToFit="false"/>
    </xf>
    <xf xfId="0" fontId="0" numFmtId="3" fillId="0" borderId="17" applyFont="0" applyNumberFormat="1" applyFill="0" applyBorder="1" applyAlignment="1">
      <alignment horizontal="right" vertical="center" textRotation="0" wrapText="true" shrinkToFit="false"/>
    </xf>
    <xf xfId="0" fontId="0" numFmtId="3" fillId="0" borderId="7" applyFont="0" applyNumberFormat="1" applyFill="0" applyBorder="1" applyAlignment="1">
      <alignment horizontal="right" vertical="center" textRotation="0" wrapText="true" shrinkToFit="false"/>
    </xf>
    <xf xfId="0" fontId="0" numFmtId="3" fillId="0" borderId="18" applyFont="0" applyNumberFormat="1" applyFill="0" applyBorder="1" applyAlignment="1">
      <alignment vertical="center" textRotation="0" wrapText="true" shrinkToFit="false"/>
    </xf>
    <xf xfId="0" fontId="0" numFmtId="3" fillId="0" borderId="19" applyFont="0" applyNumberFormat="1" applyFill="0" applyBorder="1" applyAlignment="1">
      <alignment vertical="center" textRotation="0" wrapText="true" shrinkToFit="false"/>
    </xf>
    <xf xfId="0" fontId="0" numFmtId="3" fillId="0" borderId="20" applyFont="0" applyNumberFormat="1" applyFill="0" applyBorder="1" applyAlignment="1">
      <alignment vertical="center" textRotation="0" wrapText="true" shrinkToFit="false"/>
    </xf>
    <xf xfId="0" fontId="0" numFmtId="0" fillId="0" borderId="4" applyFont="0" applyNumberFormat="0" applyFill="0" applyBorder="1" applyAlignment="1">
      <alignment horizontal="right" vertical="center" textRotation="0" wrapText="true" shrinkToFit="false"/>
    </xf>
    <xf xfId="0" fontId="0" numFmtId="3" fillId="0" borderId="9" applyFont="0" applyNumberFormat="1" applyFill="0" applyBorder="1" applyAlignment="1">
      <alignment vertical="center" textRotation="0" wrapText="true" shrinkToFit="false"/>
    </xf>
    <xf xfId="0" fontId="0" numFmtId="3" fillId="0" borderId="7" applyFont="0" applyNumberFormat="1" applyFill="0" applyBorder="1" applyAlignment="1">
      <alignment vertical="center" textRotation="0" wrapText="true" shrinkToFit="false"/>
    </xf>
    <xf xfId="0" fontId="0" numFmtId="0" fillId="0" borderId="1" applyFont="0" applyNumberFormat="0" applyFill="0" applyBorder="1" applyAlignment="1">
      <alignment vertical="center" textRotation="0" wrapText="true" shrinkToFit="false"/>
    </xf>
    <xf xfId="0" fontId="0" numFmtId="0" fillId="0" borderId="7" applyFont="0" applyNumberFormat="0" applyFill="0" applyBorder="1" applyAlignment="1" applyProtection="true">
      <alignment vertical="center" textRotation="0" wrapText="true" shrinkToFit="false"/>
      <protection locked="false"/>
    </xf>
    <xf xfId="0" fontId="0" numFmtId="0" fillId="0" borderId="0" applyFont="0" applyNumberFormat="0" applyFill="0" applyBorder="0" applyAlignment="1">
      <alignment horizontal="left" vertical="center" textRotation="0" wrapText="true" shrinkToFit="false"/>
    </xf>
    <xf xfId="0" fontId="2" numFmtId="3" fillId="0" borderId="21" applyFont="1" applyNumberFormat="1" applyFill="0" applyBorder="1" applyAlignment="1">
      <alignment horizontal="center" vertical="center" textRotation="0" wrapText="true" shrinkToFit="false"/>
    </xf>
    <xf xfId="0" fontId="2" numFmtId="3" fillId="0" borderId="3" applyFont="1" applyNumberFormat="1" applyFill="0" applyBorder="1" applyAlignment="1">
      <alignment horizontal="center" vertical="center" textRotation="0" wrapText="true" shrinkToFit="false"/>
    </xf>
    <xf xfId="0" fontId="2" numFmtId="3" fillId="0" borderId="1" applyFont="1" applyNumberFormat="1" applyFill="0" applyBorder="1" applyAlignment="1">
      <alignment horizontal="center" vertical="center" textRotation="0" wrapText="true" shrinkToFit="false"/>
    </xf>
    <xf xfId="0" fontId="2" numFmtId="3" fillId="0" borderId="5" applyFont="1" applyNumberFormat="1" applyFill="0" applyBorder="1" applyAlignment="1">
      <alignment horizontal="center" vertical="center" textRotation="0" wrapText="true" shrinkToFit="false"/>
    </xf>
    <xf xfId="0" fontId="2" numFmtId="3" fillId="0" borderId="22" applyFont="1" applyNumberFormat="1" applyFill="0" applyBorder="1" applyAlignment="1">
      <alignment horizontal="center" vertical="center" textRotation="0" wrapText="true" shrinkToFit="false"/>
    </xf>
    <xf xfId="0" fontId="2" numFmtId="3" fillId="0" borderId="23" applyFont="1" applyNumberFormat="1" applyFill="0" applyBorder="1" applyAlignment="1">
      <alignment horizontal="center" vertical="center" textRotation="0" wrapText="true" shrinkToFit="false"/>
    </xf>
    <xf xfId="0" fontId="2" numFmtId="3" fillId="0" borderId="24" applyFont="1" applyNumberFormat="1" applyFill="0" applyBorder="1" applyAlignment="1">
      <alignment horizontal="center" vertical="center" textRotation="0" wrapText="true" shrinkToFit="false"/>
    </xf>
    <xf xfId="0" fontId="2" numFmtId="3" fillId="0" borderId="2" applyFont="1" applyNumberFormat="1" applyFill="0" applyBorder="1" applyAlignment="1">
      <alignment horizontal="center" vertical="center" textRotation="0" wrapText="true" shrinkToFit="false"/>
    </xf>
    <xf xfId="0" fontId="2" numFmtId="3" fillId="0" borderId="21" applyFont="1" applyNumberFormat="1" applyFill="0" applyBorder="1" applyAlignment="1">
      <alignment horizontal="center" vertical="center" textRotation="0" wrapText="true" shrinkToFit="false"/>
    </xf>
    <xf xfId="0" fontId="2" numFmtId="3" fillId="0" borderId="3" applyFont="1" applyNumberFormat="1" applyFill="0" applyBorder="1" applyAlignment="1">
      <alignment horizontal="center" vertical="center" textRotation="0" wrapText="true" shrinkToFit="false"/>
    </xf>
    <xf xfId="0" fontId="1" numFmtId="0" fillId="2" borderId="25" applyFont="1" applyNumberFormat="0" applyFill="1" applyBorder="1" applyAlignment="1">
      <alignment horizontal="center" vertical="center" textRotation="0" wrapText="false" shrinkToFit="false"/>
    </xf>
    <xf xfId="0" fontId="1" numFmtId="0" fillId="2" borderId="26" applyFont="1" applyNumberFormat="0" applyFill="1" applyBorder="1" applyAlignment="1">
      <alignment horizontal="center" vertical="center" textRotation="0" wrapText="false" shrinkToFit="false"/>
    </xf>
    <xf xfId="0" fontId="1" numFmtId="0" fillId="2" borderId="8" applyFont="1" applyNumberFormat="0" applyFill="1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3" fillId="0" borderId="23" applyFont="1" applyNumberFormat="1" applyFill="0" applyBorder="1" applyAlignment="1">
      <alignment horizontal="center" vertical="center" textRotation="0" wrapText="true" shrinkToFit="false"/>
    </xf>
    <xf xfId="0" fontId="2" numFmtId="3" fillId="0" borderId="24" applyFont="1" applyNumberFormat="1" applyFill="0" applyBorder="1" applyAlignment="1">
      <alignment horizontal="center" vertical="center" textRotation="0" wrapText="true" shrinkToFit="false"/>
    </xf>
    <xf xfId="0" fontId="2" numFmtId="3" fillId="0" borderId="2" applyFont="1" applyNumberFormat="1" applyFill="0" applyBorder="1" applyAlignment="1">
      <alignment horizontal="center" vertical="center" textRotation="0" wrapText="true" shrinkToFit="false"/>
    </xf>
    <xf xfId="0" fontId="1" numFmtId="0" fillId="2" borderId="21" applyFont="1" applyNumberFormat="0" applyFill="1" applyBorder="1" applyAlignment="1">
      <alignment horizontal="center" vertical="center" textRotation="0" wrapText="false" shrinkToFit="false"/>
    </xf>
    <xf xfId="0" fontId="1" numFmtId="0" fillId="2" borderId="3" applyFont="1" applyNumberFormat="0" applyFill="1" applyBorder="1" applyAlignment="1">
      <alignment horizontal="center" vertical="center" textRotation="0" wrapText="false" shrinkToFit="false"/>
    </xf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2" numFmtId="3" fillId="0" borderId="21" applyFont="1" applyNumberFormat="1" applyFill="0" applyBorder="1" applyAlignment="1">
      <alignment horizontal="center" vertical="center" textRotation="0" wrapText="true" shrinkToFit="false"/>
    </xf>
    <xf xfId="0" fontId="2" numFmtId="3" fillId="0" borderId="3" applyFont="1" applyNumberFormat="1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2" numFmtId="3" fillId="0" borderId="5" applyFont="1" applyNumberFormat="1" applyFill="0" applyBorder="1" applyAlignment="1">
      <alignment horizontal="center" vertical="center" textRotation="0" wrapText="false" shrinkToFit="false"/>
    </xf>
    <xf xfId="0" fontId="2" numFmtId="3" fillId="0" borderId="22" applyFont="1" applyNumberFormat="1" applyFill="0" applyBorder="1" applyAlignment="1">
      <alignment horizontal="center" vertical="center" textRotation="0" wrapText="false" shrinkToFit="false"/>
    </xf>
    <xf xfId="0" fontId="1" numFmtId="0" fillId="0" borderId="21" applyFont="1" applyNumberFormat="0" applyFill="0" applyBorder="1" applyAlignment="1">
      <alignment horizontal="center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1" numFmtId="0" fillId="0" borderId="21" applyFont="1" applyNumberFormat="0" applyFill="0" applyBorder="1" applyAlignment="1">
      <alignment horizontal="center" vertical="center" textRotation="0" wrapText="true" shrinkToFit="false"/>
    </xf>
    <xf xfId="0" fontId="1" numFmtId="0" fillId="0" borderId="3" applyFont="1" applyNumberFormat="0" applyFill="0" applyBorder="1" applyAlignment="1">
      <alignment horizontal="center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1" numFmtId="0" fillId="2" borderId="27" applyFont="1" applyNumberFormat="0" applyFill="1" applyBorder="1" applyAlignment="1">
      <alignment horizontal="center" vertical="center" textRotation="0" wrapText="true" shrinkToFit="false"/>
    </xf>
    <xf xfId="0" fontId="1" numFmtId="0" fillId="2" borderId="21" applyFont="1" applyNumberFormat="0" applyFill="1" applyBorder="1" applyAlignment="1">
      <alignment horizontal="center" vertical="center" textRotation="0" wrapText="true" shrinkToFit="false"/>
    </xf>
    <xf xfId="0" fontId="0" numFmtId="0" fillId="0" borderId="28" applyFont="0" applyNumberFormat="0" applyFill="0" applyBorder="1" applyAlignment="1">
      <alignment horizontal="right" vertical="center" textRotation="0" wrapText="true" shrinkToFit="false"/>
    </xf>
    <xf xfId="0" fontId="0" numFmtId="0" fillId="0" borderId="29" applyFont="0" applyNumberFormat="0" applyFill="0" applyBorder="1" applyAlignment="1">
      <alignment vertical="center" textRotation="0" wrapText="true" shrinkToFit="false"/>
    </xf>
    <xf xfId="0" fontId="0" numFmtId="3" fillId="0" borderId="30" applyFont="0" applyNumberFormat="1" applyFill="0" applyBorder="1" applyAlignment="1">
      <alignment horizontal="right" vertical="center" textRotation="0" wrapText="true" shrinkToFit="false"/>
    </xf>
    <xf xfId="0" fontId="0" numFmtId="3" fillId="0" borderId="31" applyFont="0" applyNumberFormat="1" applyFill="0" applyBorder="1" applyAlignment="1">
      <alignment horizontal="right" vertical="center" textRotation="0" wrapText="true" shrinkToFit="false"/>
    </xf>
    <xf xfId="0" fontId="0" numFmtId="3" fillId="0" borderId="31" applyFont="0" applyNumberFormat="1" applyFill="0" applyBorder="1" applyAlignment="1">
      <alignment vertical="center" textRotation="0" wrapText="true" shrinkToFit="false"/>
    </xf>
    <xf xfId="0" fontId="0" numFmtId="3" fillId="0" borderId="32" applyFont="0" applyNumberFormat="1" applyFill="0" applyBorder="1" applyAlignment="1">
      <alignment vertical="center" textRotation="0" wrapText="true" shrinkToFit="false"/>
    </xf>
    <xf xfId="0" fontId="0" numFmtId="3" fillId="0" borderId="33" applyFont="0" applyNumberFormat="1" applyFill="0" applyBorder="1" applyAlignment="1">
      <alignment vertical="center" textRotation="0" wrapText="true" shrinkToFit="false"/>
    </xf>
    <xf xfId="0" fontId="2" numFmtId="0" fillId="0" borderId="29" applyFont="1" applyNumberFormat="0" applyFill="0" applyBorder="1" applyAlignment="1">
      <alignment vertical="center" textRotation="0" wrapText="true" shrinkToFit="false"/>
    </xf>
    <xf xfId="0" fontId="2" numFmtId="3" fillId="0" borderId="30" applyFont="1" applyNumberFormat="1" applyFill="0" applyBorder="1" applyAlignment="1">
      <alignment horizontal="center" vertical="center" textRotation="0" wrapText="true" shrinkToFit="false"/>
    </xf>
    <xf xfId="0" fontId="2" numFmtId="3" fillId="0" borderId="32" applyFont="1" applyNumberFormat="1" applyFill="0" applyBorder="1" applyAlignment="1">
      <alignment horizontal="center" vertical="center" textRotation="0" wrapText="true" shrinkToFit="false"/>
    </xf>
    <xf xfId="0" fontId="2" numFmtId="3" fillId="0" borderId="29" applyFont="1" applyNumberFormat="1" applyFill="0" applyBorder="1" applyAlignment="1">
      <alignment horizontal="center" vertical="center" textRotation="0" wrapText="true" shrinkToFit="false"/>
    </xf>
    <xf xfId="0" fontId="2" numFmtId="3" fillId="0" borderId="34" applyFont="1" applyNumberFormat="1" applyFill="0" applyBorder="1" applyAlignment="1">
      <alignment horizontal="center" vertical="center" textRotation="0" wrapText="true" shrinkToFit="false"/>
    </xf>
    <xf xfId="0" fontId="3" numFmtId="0" fillId="0" borderId="28" applyFont="1" applyNumberFormat="0" applyFill="0" applyBorder="1" applyAlignment="1">
      <alignment horizontal="right" vertical="center" textRotation="0" wrapText="true" shrinkToFit="false"/>
    </xf>
    <xf xfId="0" fontId="1" numFmtId="0" fillId="0" borderId="31" applyFont="1" applyNumberFormat="0" applyFill="0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I688"/>
  <sheetViews>
    <sheetView tabSelected="1" workbookViewId="0" zoomScale="89" zoomScaleNormal="89" showGridLines="true" showRowColHeaders="1" topLeftCell="A571">
      <selection activeCell="B673" sqref="B673:I673"/>
    </sheetView>
  </sheetViews>
  <sheetFormatPr defaultRowHeight="14.4" outlineLevelRow="0" outlineLevelCol="0"/>
  <cols>
    <col min="1" max="1" width="9.140625" customWidth="true" style="0"/>
    <col min="2" max="2" width="21.5703125" customWidth="true" style="0"/>
    <col min="3" max="3" width="39.28515625" customWidth="true" style="0"/>
    <col min="4" max="4" width="14" customWidth="true" style="0"/>
    <col min="5" max="5" width="18.28515625" customWidth="true" style="0"/>
    <col min="6" max="6" width="16.5703125" customWidth="true" style="0"/>
    <col min="7" max="7" width="16.140625" customWidth="true" style="0"/>
    <col min="8" max="8" width="14.28515625" customWidth="true" style="0"/>
    <col min="9" max="9" width="16.42578125" customWidth="true" style="0"/>
    <col min="10" max="10" width="16.28515625" customWidth="true" style="0"/>
  </cols>
  <sheetData>
    <row r="1" spans="1:35">
      <c r="B1" s="2" t="s">
        <v>0</v>
      </c>
      <c r="C1" s="37" t="s">
        <v>1</v>
      </c>
      <c r="D1" s="37"/>
      <c r="E1" s="37"/>
      <c r="F1" s="37"/>
      <c r="G1" s="37"/>
      <c r="H1" s="37"/>
      <c r="I1" s="37"/>
      <c r="J1" s="3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I1"/>
    </row>
    <row r="2" spans="1:35">
      <c r="B2" s="2" t="s">
        <v>2</v>
      </c>
      <c r="C2" s="37" t="s">
        <v>1</v>
      </c>
      <c r="D2" s="37"/>
      <c r="E2" s="37"/>
      <c r="F2" s="37"/>
      <c r="G2" s="37"/>
      <c r="H2" s="37"/>
      <c r="I2" s="37"/>
      <c r="J2" s="3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I2"/>
    </row>
    <row r="3" spans="1:35">
      <c r="B3" s="2" t="s">
        <v>3</v>
      </c>
      <c r="C3" s="37" t="s">
        <v>4</v>
      </c>
      <c r="D3" s="37"/>
      <c r="E3" s="37"/>
      <c r="F3" s="37"/>
      <c r="G3" s="37"/>
      <c r="H3" s="37"/>
      <c r="I3" s="37"/>
      <c r="J3" s="3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I3"/>
    </row>
    <row r="4" spans="1:35" customHeight="1" ht="15">
      <c r="A4" s="51" t="s">
        <v>5</v>
      </c>
      <c r="B4" s="51"/>
      <c r="C4" s="51"/>
      <c r="D4" s="51"/>
      <c r="E4" s="51"/>
      <c r="F4" s="51"/>
      <c r="G4" s="51"/>
      <c r="H4" s="51"/>
      <c r="I4" s="51"/>
      <c r="J4" s="51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 spans="1:35" customHeight="1" ht="15">
      <c r="A5" s="51" t="s">
        <v>6</v>
      </c>
      <c r="B5" s="51"/>
      <c r="C5" s="51"/>
      <c r="D5" s="51"/>
      <c r="E5" s="51"/>
      <c r="F5" s="51"/>
      <c r="G5" s="51"/>
      <c r="H5" s="51"/>
      <c r="I5" s="51"/>
      <c r="J5" s="51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 spans="1:35" customHeight="1" ht="15">
      <c r="A6" s="51" t="s">
        <v>7</v>
      </c>
      <c r="B6" s="51"/>
      <c r="C6" s="51"/>
      <c r="D6" s="51"/>
      <c r="E6" s="51"/>
      <c r="F6" s="51"/>
      <c r="G6" s="51"/>
      <c r="H6" s="51"/>
      <c r="I6" s="51"/>
      <c r="J6" s="51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spans="1:35" customHeight="1" ht="15">
      <c r="A7" s="3"/>
      <c r="B7" s="37" t="s">
        <v>8</v>
      </c>
      <c r="C7" s="37"/>
      <c r="D7" s="37"/>
      <c r="E7" s="37"/>
      <c r="F7" s="37"/>
      <c r="G7" s="37"/>
      <c r="H7" s="37"/>
      <c r="I7" s="37"/>
      <c r="J7" s="37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I7" s="3"/>
    </row>
    <row r="8" spans="1:35" customHeight="1" ht="15">
      <c r="A8" s="3"/>
      <c r="B8" s="37" t="s">
        <v>9</v>
      </c>
      <c r="C8" s="37"/>
      <c r="D8" s="37"/>
      <c r="E8" s="37"/>
      <c r="F8" s="37"/>
      <c r="G8" s="37"/>
      <c r="H8" s="37"/>
      <c r="I8" s="37"/>
      <c r="J8" s="37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I8" s="3"/>
    </row>
    <row r="9" spans="1:35" customHeight="1" ht="15.75">
      <c r="L9" s="1"/>
      <c r="M9" s="1"/>
      <c r="N9" s="1"/>
      <c r="O9" s="1"/>
      <c r="P9" s="1"/>
      <c r="Q9" s="1"/>
      <c r="R9" s="1"/>
      <c r="S9" s="1"/>
      <c r="AI9"/>
    </row>
    <row r="10" spans="1:35" customHeight="1" ht="54">
      <c r="B10" s="49" t="s">
        <v>10</v>
      </c>
      <c r="C10" s="49" t="s">
        <v>11</v>
      </c>
      <c r="D10" s="69" t="s">
        <v>12</v>
      </c>
      <c r="E10" s="48"/>
      <c r="F10" s="55" t="s">
        <v>13</v>
      </c>
      <c r="G10" s="57"/>
      <c r="H10" s="56"/>
      <c r="I10" s="70" t="s">
        <v>14</v>
      </c>
      <c r="J10" s="56"/>
      <c r="L10" s="1"/>
      <c r="M10" s="1"/>
      <c r="N10" s="1"/>
      <c r="O10" s="1"/>
      <c r="P10" s="1"/>
      <c r="Q10" s="1"/>
      <c r="R10" s="1"/>
      <c r="S10" s="1"/>
      <c r="AI10"/>
    </row>
    <row r="11" spans="1:35" customHeight="1" ht="34.5">
      <c r="B11" s="50"/>
      <c r="C11" s="50"/>
      <c r="D11" s="9" t="s">
        <v>15</v>
      </c>
      <c r="E11" s="8" t="s">
        <v>16</v>
      </c>
      <c r="F11" s="9" t="s">
        <v>17</v>
      </c>
      <c r="G11" s="9" t="s">
        <v>18</v>
      </c>
      <c r="H11" s="8" t="s">
        <v>15</v>
      </c>
      <c r="I11" s="9" t="s">
        <v>15</v>
      </c>
      <c r="J11" s="10" t="s">
        <v>16</v>
      </c>
      <c r="L11" s="1"/>
      <c r="M11" s="1"/>
      <c r="N11" s="1"/>
      <c r="O11" s="1"/>
      <c r="P11" s="1"/>
      <c r="Q11" s="1"/>
      <c r="R11" s="1"/>
      <c r="S11" s="1"/>
      <c r="AI11"/>
    </row>
    <row r="12" spans="1:35" customHeight="1" ht="15.75">
      <c r="A12"/>
      <c r="B12" s="16">
        <v>1010301001</v>
      </c>
      <c r="C12" s="6" t="s">
        <v>19</v>
      </c>
      <c r="D12" s="38">
        <f>SUM(E13:E35)</f>
        <v>0</v>
      </c>
      <c r="E12" s="39"/>
      <c r="F12" s="43">
        <f>SUM(H13:H45)</f>
        <v>-16</v>
      </c>
      <c r="G12" s="53"/>
      <c r="H12" s="54"/>
      <c r="I12" s="52">
        <v>0</v>
      </c>
      <c r="J12" s="54"/>
      <c r="K12"/>
      <c r="L12" s="1"/>
      <c r="M12" s="1"/>
      <c r="N12" s="1"/>
      <c r="O12" s="1"/>
      <c r="P12" s="1"/>
      <c r="Q12" s="1"/>
      <c r="R12" s="1"/>
      <c r="S12" s="1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customHeight="1" ht="15">
      <c r="A13"/>
      <c r="B13" s="17" t="s">
        <v>20</v>
      </c>
      <c r="C13" s="18" t="s">
        <v>21</v>
      </c>
      <c r="D13" s="19">
        <v>0</v>
      </c>
      <c r="E13" s="20">
        <v>0</v>
      </c>
      <c r="F13" s="21">
        <v>0</v>
      </c>
      <c r="G13" s="22">
        <f>0</f>
        <v>0</v>
      </c>
      <c r="H13" s="22">
        <v>0</v>
      </c>
      <c r="I13" s="22">
        <v>0</v>
      </c>
      <c r="J13" s="22">
        <v>0</v>
      </c>
      <c r="K13"/>
      <c r="L13" s="1"/>
      <c r="M13" s="1"/>
      <c r="N13" s="1"/>
      <c r="O13" s="1"/>
      <c r="P13" s="1"/>
      <c r="Q13" s="1"/>
      <c r="R13" s="1"/>
      <c r="S13" s="1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>
      <c r="A14"/>
      <c r="B14" s="17" t="s">
        <v>22</v>
      </c>
      <c r="C14" s="18" t="s">
        <v>23</v>
      </c>
      <c r="D14" s="23">
        <v>0</v>
      </c>
      <c r="E14" s="24">
        <v>0</v>
      </c>
      <c r="F14" s="25">
        <v>0</v>
      </c>
      <c r="G14" s="26">
        <f>0</f>
        <v>0</v>
      </c>
      <c r="H14" s="26">
        <v>0</v>
      </c>
      <c r="I14" s="22">
        <v>0</v>
      </c>
      <c r="J14" s="22">
        <v>0</v>
      </c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customHeight="1" ht="15">
      <c r="A15"/>
      <c r="B15" s="17" t="s">
        <v>24</v>
      </c>
      <c r="C15" s="18" t="s">
        <v>25</v>
      </c>
      <c r="D15" s="23">
        <v>0</v>
      </c>
      <c r="E15" s="24">
        <v>0</v>
      </c>
      <c r="F15" s="25">
        <v>0</v>
      </c>
      <c r="G15" s="26">
        <f>0</f>
        <v>0</v>
      </c>
      <c r="H15" s="26">
        <v>0</v>
      </c>
      <c r="I15" s="22">
        <v>0</v>
      </c>
      <c r="J15" s="22">
        <v>0</v>
      </c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customHeight="1" ht="15">
      <c r="A16"/>
      <c r="B16" s="17" t="s">
        <v>26</v>
      </c>
      <c r="C16" s="18" t="s">
        <v>27</v>
      </c>
      <c r="D16" s="23">
        <v>0</v>
      </c>
      <c r="E16" s="24">
        <v>0</v>
      </c>
      <c r="F16" s="25">
        <v>0</v>
      </c>
      <c r="G16" s="26">
        <f>0</f>
        <v>0</v>
      </c>
      <c r="H16" s="26">
        <v>0</v>
      </c>
      <c r="I16" s="22">
        <v>0</v>
      </c>
      <c r="J16" s="22">
        <v>0</v>
      </c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customHeight="1" ht="15">
      <c r="A17"/>
      <c r="B17" s="17" t="s">
        <v>28</v>
      </c>
      <c r="C17" s="18" t="s">
        <v>29</v>
      </c>
      <c r="D17" s="23">
        <v>0</v>
      </c>
      <c r="E17" s="24">
        <v>0</v>
      </c>
      <c r="F17" s="25">
        <v>0</v>
      </c>
      <c r="G17" s="26">
        <f>0</f>
        <v>0</v>
      </c>
      <c r="H17" s="26">
        <v>0</v>
      </c>
      <c r="I17" s="22">
        <v>0</v>
      </c>
      <c r="J17" s="22">
        <v>0</v>
      </c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customHeight="1" ht="15">
      <c r="A18"/>
      <c r="B18" s="17" t="s">
        <v>30</v>
      </c>
      <c r="C18" s="18" t="s">
        <v>31</v>
      </c>
      <c r="D18" s="23">
        <v>0</v>
      </c>
      <c r="E18" s="24">
        <v>0</v>
      </c>
      <c r="F18" s="25">
        <v>0</v>
      </c>
      <c r="G18" s="26">
        <f>0</f>
        <v>0</v>
      </c>
      <c r="H18" s="26">
        <v>0</v>
      </c>
      <c r="I18" s="22">
        <v>0</v>
      </c>
      <c r="J18" s="22">
        <v>0</v>
      </c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customHeight="1" ht="15">
      <c r="A19"/>
      <c r="B19" s="17" t="s">
        <v>32</v>
      </c>
      <c r="C19" s="18" t="s">
        <v>33</v>
      </c>
      <c r="D19" s="23">
        <v>0</v>
      </c>
      <c r="E19" s="24">
        <v>0</v>
      </c>
      <c r="F19" s="25">
        <v>0</v>
      </c>
      <c r="G19" s="26">
        <f>0</f>
        <v>0</v>
      </c>
      <c r="H19" s="26">
        <v>0</v>
      </c>
      <c r="I19" s="22">
        <v>0</v>
      </c>
      <c r="J19" s="22">
        <v>0</v>
      </c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customHeight="1" ht="15">
      <c r="A20"/>
      <c r="B20" s="17" t="s">
        <v>34</v>
      </c>
      <c r="C20" s="18" t="s">
        <v>35</v>
      </c>
      <c r="D20" s="23"/>
      <c r="E20" s="24">
        <v>0</v>
      </c>
      <c r="F20" s="25">
        <v>0</v>
      </c>
      <c r="G20" s="26">
        <v>0</v>
      </c>
      <c r="H20" s="26">
        <f>IF(F20+G20&lt;0, F20+G20, F20+G20)</f>
        <v>0</v>
      </c>
      <c r="I20" s="22">
        <v>0</v>
      </c>
      <c r="J20" s="22">
        <v>0</v>
      </c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customHeight="1" ht="15">
      <c r="A21"/>
      <c r="B21" s="17" t="s">
        <v>36</v>
      </c>
      <c r="C21" s="18" t="s">
        <v>37</v>
      </c>
      <c r="D21" s="23">
        <v>0</v>
      </c>
      <c r="E21" s="24">
        <v>0</v>
      </c>
      <c r="F21" s="25">
        <v>0</v>
      </c>
      <c r="G21" s="26">
        <f>0</f>
        <v>0</v>
      </c>
      <c r="H21" s="26">
        <v>0</v>
      </c>
      <c r="I21" s="22">
        <v>0</v>
      </c>
      <c r="J21" s="22">
        <v>0</v>
      </c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customHeight="1" ht="15">
      <c r="A22"/>
      <c r="B22" s="17" t="s">
        <v>38</v>
      </c>
      <c r="C22" s="18" t="s">
        <v>39</v>
      </c>
      <c r="D22" s="23"/>
      <c r="E22" s="24">
        <v>0</v>
      </c>
      <c r="F22" s="25">
        <v>0</v>
      </c>
      <c r="G22" s="26">
        <v>0</v>
      </c>
      <c r="H22" s="26">
        <f>IF(F22+G22&lt;0, F22+G22, F22+G22)</f>
        <v>0</v>
      </c>
      <c r="I22" s="22">
        <v>0</v>
      </c>
      <c r="J22" s="22">
        <v>0</v>
      </c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customHeight="1" ht="15">
      <c r="A23"/>
      <c r="B23" s="17" t="s">
        <v>40</v>
      </c>
      <c r="C23" s="18" t="s">
        <v>41</v>
      </c>
      <c r="D23" s="23">
        <v>0</v>
      </c>
      <c r="E23" s="24">
        <v>0</v>
      </c>
      <c r="F23" s="25">
        <v>0</v>
      </c>
      <c r="G23" s="26">
        <f>0</f>
        <v>0</v>
      </c>
      <c r="H23" s="26">
        <v>0</v>
      </c>
      <c r="I23" s="22">
        <v>0</v>
      </c>
      <c r="J23" s="22">
        <v>0</v>
      </c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customHeight="1" ht="15">
      <c r="A24"/>
      <c r="B24" s="17" t="s">
        <v>42</v>
      </c>
      <c r="C24" s="18" t="s">
        <v>43</v>
      </c>
      <c r="D24" s="23">
        <v>0</v>
      </c>
      <c r="E24" s="24">
        <v>0</v>
      </c>
      <c r="F24" s="25">
        <v>0</v>
      </c>
      <c r="G24" s="26">
        <f>0</f>
        <v>0</v>
      </c>
      <c r="H24" s="26">
        <v>0</v>
      </c>
      <c r="I24" s="22">
        <v>0</v>
      </c>
      <c r="J24" s="22">
        <v>0</v>
      </c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customHeight="1" ht="15">
      <c r="A25"/>
      <c r="B25" s="17" t="s">
        <v>44</v>
      </c>
      <c r="C25" s="18" t="s">
        <v>45</v>
      </c>
      <c r="D25" s="23">
        <v>0</v>
      </c>
      <c r="E25" s="24">
        <v>0</v>
      </c>
      <c r="F25" s="25">
        <v>0</v>
      </c>
      <c r="G25" s="26">
        <f>0</f>
        <v>0</v>
      </c>
      <c r="H25" s="26">
        <v>0</v>
      </c>
      <c r="I25" s="22">
        <v>0</v>
      </c>
      <c r="J25" s="22">
        <v>0</v>
      </c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customHeight="1" ht="15">
      <c r="A26"/>
      <c r="B26" s="17" t="s">
        <v>46</v>
      </c>
      <c r="C26" s="18" t="s">
        <v>47</v>
      </c>
      <c r="D26" s="23">
        <v>0</v>
      </c>
      <c r="E26" s="24">
        <v>0</v>
      </c>
      <c r="F26" s="25">
        <v>0</v>
      </c>
      <c r="G26" s="26">
        <f>0</f>
        <v>0</v>
      </c>
      <c r="H26" s="26">
        <v>0</v>
      </c>
      <c r="I26" s="22">
        <v>0</v>
      </c>
      <c r="J26" s="22">
        <v>0</v>
      </c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customHeight="1" ht="15">
      <c r="A27"/>
      <c r="B27" s="17" t="s">
        <v>48</v>
      </c>
      <c r="C27" s="18" t="s">
        <v>49</v>
      </c>
      <c r="D27" s="23"/>
      <c r="E27" s="24">
        <v>0</v>
      </c>
      <c r="F27" s="25">
        <v>0</v>
      </c>
      <c r="G27" s="26">
        <v>0</v>
      </c>
      <c r="H27" s="26">
        <f>IF(F27+G27&lt;0, F27+G27, F27+G27)</f>
        <v>0</v>
      </c>
      <c r="I27" s="22">
        <v>0</v>
      </c>
      <c r="J27" s="22">
        <v>0</v>
      </c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customHeight="1" ht="15">
      <c r="A28"/>
      <c r="B28" s="17" t="s">
        <v>50</v>
      </c>
      <c r="C28" s="18" t="s">
        <v>51</v>
      </c>
      <c r="D28" s="23">
        <v>0</v>
      </c>
      <c r="E28" s="24">
        <v>0</v>
      </c>
      <c r="F28" s="25">
        <v>0</v>
      </c>
      <c r="G28" s="26">
        <f>0</f>
        <v>0</v>
      </c>
      <c r="H28" s="26">
        <v>0</v>
      </c>
      <c r="I28" s="22">
        <v>0</v>
      </c>
      <c r="J28" s="22">
        <v>0</v>
      </c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customHeight="1" ht="15">
      <c r="A29"/>
      <c r="B29" s="17" t="s">
        <v>52</v>
      </c>
      <c r="C29" s="18" t="s">
        <v>53</v>
      </c>
      <c r="D29" s="23"/>
      <c r="E29" s="24">
        <v>0</v>
      </c>
      <c r="F29" s="25">
        <v>3</v>
      </c>
      <c r="G29" s="26">
        <v>-4</v>
      </c>
      <c r="H29" s="26">
        <f>IF(F29+G29&lt;0, F29+G29, F29+G29)</f>
        <v>-1</v>
      </c>
      <c r="I29" s="22">
        <v>-1</v>
      </c>
      <c r="J29" s="22">
        <v>0</v>
      </c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customHeight="1" ht="15">
      <c r="A30"/>
      <c r="B30" s="17" t="s">
        <v>54</v>
      </c>
      <c r="C30" s="18" t="s">
        <v>55</v>
      </c>
      <c r="D30" s="23"/>
      <c r="E30" s="24">
        <v>0</v>
      </c>
      <c r="F30" s="25">
        <v>0</v>
      </c>
      <c r="G30" s="26">
        <v>0</v>
      </c>
      <c r="H30" s="26">
        <f>IF(F30+G30&lt;0, F30+G30, F30+G30)</f>
        <v>0</v>
      </c>
      <c r="I30" s="22">
        <v>0</v>
      </c>
      <c r="J30" s="22">
        <v>0</v>
      </c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customHeight="1" ht="15">
      <c r="A31"/>
      <c r="B31" s="17" t="s">
        <v>56</v>
      </c>
      <c r="C31" s="18" t="s">
        <v>57</v>
      </c>
      <c r="D31" s="23">
        <v>0</v>
      </c>
      <c r="E31" s="24">
        <v>0</v>
      </c>
      <c r="F31" s="25">
        <v>0</v>
      </c>
      <c r="G31" s="26">
        <f>0</f>
        <v>0</v>
      </c>
      <c r="H31" s="26">
        <v>0</v>
      </c>
      <c r="I31" s="22">
        <v>0</v>
      </c>
      <c r="J31" s="22">
        <v>0</v>
      </c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customHeight="1" ht="15">
      <c r="A32"/>
      <c r="B32" s="17" t="s">
        <v>58</v>
      </c>
      <c r="C32" s="18" t="s">
        <v>59</v>
      </c>
      <c r="D32" s="23">
        <v>0</v>
      </c>
      <c r="E32" s="24">
        <v>0</v>
      </c>
      <c r="F32" s="25">
        <v>0</v>
      </c>
      <c r="G32" s="26">
        <f>0</f>
        <v>0</v>
      </c>
      <c r="H32" s="26">
        <v>0</v>
      </c>
      <c r="I32" s="22">
        <v>0</v>
      </c>
      <c r="J32" s="22">
        <v>0</v>
      </c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customHeight="1" ht="15">
      <c r="A33"/>
      <c r="B33" s="17" t="s">
        <v>60</v>
      </c>
      <c r="C33" s="18" t="s">
        <v>61</v>
      </c>
      <c r="D33" s="23"/>
      <c r="E33" s="24">
        <v>0</v>
      </c>
      <c r="F33" s="25">
        <v>0</v>
      </c>
      <c r="G33" s="26">
        <v>-2</v>
      </c>
      <c r="H33" s="26">
        <f>IF(F33+G33&lt;0, F33+G33, F33+G33)</f>
        <v>-2</v>
      </c>
      <c r="I33" s="22">
        <v>-2</v>
      </c>
      <c r="J33" s="22">
        <v>0</v>
      </c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customHeight="1" ht="15">
      <c r="A34"/>
      <c r="B34" s="17" t="s">
        <v>62</v>
      </c>
      <c r="C34" s="18" t="s">
        <v>63</v>
      </c>
      <c r="D34" s="23"/>
      <c r="E34" s="24">
        <v>0</v>
      </c>
      <c r="F34" s="25">
        <v>0</v>
      </c>
      <c r="G34" s="26">
        <v>0</v>
      </c>
      <c r="H34" s="26">
        <f>IF(F34+G34&lt;0, F34+G34, F34+G34)</f>
        <v>0</v>
      </c>
      <c r="I34" s="22">
        <v>0</v>
      </c>
      <c r="J34" s="22">
        <v>0</v>
      </c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customHeight="1" ht="15">
      <c r="A35"/>
      <c r="B35" s="17" t="s">
        <v>64</v>
      </c>
      <c r="C35" s="18" t="s">
        <v>65</v>
      </c>
      <c r="D35" s="23"/>
      <c r="E35" s="24">
        <v>0</v>
      </c>
      <c r="F35" s="25">
        <v>0</v>
      </c>
      <c r="G35" s="26">
        <v>0</v>
      </c>
      <c r="H35" s="26">
        <f>IF(F35+G35&lt;0, F35+G35, F35+G35)</f>
        <v>0</v>
      </c>
      <c r="I35" s="22">
        <v>0</v>
      </c>
      <c r="J35" s="22">
        <v>0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customHeight="1" ht="15">
      <c r="A36"/>
      <c r="B36" s="17" t="s">
        <v>66</v>
      </c>
      <c r="C36" s="18" t="s">
        <v>67</v>
      </c>
      <c r="D36" s="23"/>
      <c r="E36" s="24">
        <v>0</v>
      </c>
      <c r="F36" s="25">
        <v>0</v>
      </c>
      <c r="G36" s="26">
        <v>0</v>
      </c>
      <c r="H36" s="26">
        <f>IF(F36+G36&lt;0, F36+G36, F36+G36)</f>
        <v>0</v>
      </c>
      <c r="I36" s="22">
        <v>0</v>
      </c>
      <c r="J36" s="22">
        <v>0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customHeight="1" ht="15">
      <c r="A37"/>
      <c r="B37" s="17" t="s">
        <v>68</v>
      </c>
      <c r="C37" s="18" t="s">
        <v>69</v>
      </c>
      <c r="D37" s="23"/>
      <c r="E37" s="24">
        <v>0</v>
      </c>
      <c r="F37" s="25">
        <v>0</v>
      </c>
      <c r="G37" s="26">
        <v>0</v>
      </c>
      <c r="H37" s="26">
        <f>IF(F37+G37&lt;0, F37+G37, F37+G37)</f>
        <v>0</v>
      </c>
      <c r="I37" s="22">
        <v>0</v>
      </c>
      <c r="J37" s="22">
        <v>0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customHeight="1" ht="15">
      <c r="A38"/>
      <c r="B38" s="17" t="s">
        <v>70</v>
      </c>
      <c r="C38" s="18" t="s">
        <v>71</v>
      </c>
      <c r="D38" s="23"/>
      <c r="E38" s="24">
        <v>0</v>
      </c>
      <c r="F38" s="25">
        <v>3</v>
      </c>
      <c r="G38" s="26">
        <v>-2</v>
      </c>
      <c r="H38" s="26">
        <f>IF(F38+G38&lt;0, F38+G38, F38+G38)</f>
        <v>1</v>
      </c>
      <c r="I38" s="22">
        <v>1</v>
      </c>
      <c r="J38" s="22">
        <v>0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customHeight="1" ht="15">
      <c r="A39"/>
      <c r="B39" s="17" t="s">
        <v>72</v>
      </c>
      <c r="C39" s="18" t="s">
        <v>73</v>
      </c>
      <c r="D39" s="23"/>
      <c r="E39" s="24">
        <v>0</v>
      </c>
      <c r="F39" s="25">
        <v>3</v>
      </c>
      <c r="G39" s="26">
        <v>-7</v>
      </c>
      <c r="H39" s="26">
        <f>IF(F39+G39&lt;0, F39+G39, F39+G39)</f>
        <v>-4</v>
      </c>
      <c r="I39" s="22">
        <v>-4</v>
      </c>
      <c r="J39" s="22">
        <v>0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customHeight="1" ht="15">
      <c r="A40"/>
      <c r="B40" s="17" t="s">
        <v>74</v>
      </c>
      <c r="C40" s="18" t="s">
        <v>75</v>
      </c>
      <c r="D40" s="23"/>
      <c r="E40" s="24">
        <v>0</v>
      </c>
      <c r="F40" s="25">
        <v>0</v>
      </c>
      <c r="G40" s="26">
        <v>-2</v>
      </c>
      <c r="H40" s="26">
        <f>IF(F40+G40&lt;0, F40+G40, F40+G40)</f>
        <v>-2</v>
      </c>
      <c r="I40" s="22">
        <v>-2</v>
      </c>
      <c r="J40" s="22">
        <v>0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customHeight="1" ht="15">
      <c r="A41"/>
      <c r="B41" s="17" t="s">
        <v>76</v>
      </c>
      <c r="C41" s="18" t="s">
        <v>77</v>
      </c>
      <c r="D41" s="23">
        <v>0</v>
      </c>
      <c r="E41" s="24">
        <v>0</v>
      </c>
      <c r="F41" s="25">
        <v>0</v>
      </c>
      <c r="G41" s="26">
        <v>0</v>
      </c>
      <c r="H41" s="26">
        <v>0</v>
      </c>
      <c r="I41" s="22">
        <v>0</v>
      </c>
      <c r="J41" s="22">
        <v>0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customHeight="1" ht="15">
      <c r="A42"/>
      <c r="B42" s="17" t="s">
        <v>78</v>
      </c>
      <c r="C42" s="18" t="s">
        <v>79</v>
      </c>
      <c r="D42" s="23"/>
      <c r="E42" s="24">
        <v>0</v>
      </c>
      <c r="F42" s="25">
        <v>0</v>
      </c>
      <c r="G42" s="26">
        <v>0</v>
      </c>
      <c r="H42" s="26">
        <f>IF(F42+G42&lt;0, F42+G42, F42+G42)</f>
        <v>0</v>
      </c>
      <c r="I42" s="22">
        <v>0</v>
      </c>
      <c r="J42" s="22">
        <v>0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customHeight="1" ht="15">
      <c r="A43"/>
      <c r="B43" s="17" t="s">
        <v>80</v>
      </c>
      <c r="C43" s="18" t="s">
        <v>81</v>
      </c>
      <c r="D43" s="23"/>
      <c r="E43" s="24">
        <v>0</v>
      </c>
      <c r="F43" s="25">
        <v>0</v>
      </c>
      <c r="G43" s="26">
        <v>0</v>
      </c>
      <c r="H43" s="26">
        <f>IF(F43+G43&lt;0, F43+G43, F43+G43)</f>
        <v>0</v>
      </c>
      <c r="I43" s="22">
        <v>0</v>
      </c>
      <c r="J43" s="22">
        <v>0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customHeight="1" ht="15">
      <c r="A44"/>
      <c r="B44" s="17" t="s">
        <v>82</v>
      </c>
      <c r="C44" s="18" t="s">
        <v>83</v>
      </c>
      <c r="D44" s="23"/>
      <c r="E44" s="24">
        <v>0</v>
      </c>
      <c r="F44" s="25">
        <v>1</v>
      </c>
      <c r="G44" s="26">
        <v>-5</v>
      </c>
      <c r="H44" s="26">
        <f>IF(F44+G44&lt;0, F44+G44, F44+G44)</f>
        <v>-4</v>
      </c>
      <c r="I44" s="22">
        <v>-4</v>
      </c>
      <c r="J44" s="22">
        <v>0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customHeight="1" ht="15.75">
      <c r="A45"/>
      <c r="B45" s="17" t="s">
        <v>84</v>
      </c>
      <c r="C45" s="18" t="s">
        <v>85</v>
      </c>
      <c r="D45" s="27"/>
      <c r="E45" s="28">
        <v>0</v>
      </c>
      <c r="F45" s="29">
        <v>0</v>
      </c>
      <c r="G45" s="30">
        <v>-4</v>
      </c>
      <c r="H45" s="30">
        <f>IF(F45+G45&lt;0, F45+G45, F45+G45)</f>
        <v>-4</v>
      </c>
      <c r="I45" s="31">
        <v>-4</v>
      </c>
      <c r="J45" s="31">
        <v>0</v>
      </c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customHeight="1" ht="15.75">
      <c r="A46"/>
      <c r="B46" s="71" t="s">
        <v>86</v>
      </c>
      <c r="C46" s="72" t="s">
        <v>87</v>
      </c>
      <c r="D46" s="73"/>
      <c r="E46" s="74"/>
      <c r="F46" s="75">
        <v>0</v>
      </c>
      <c r="G46" s="76">
        <v>0</v>
      </c>
      <c r="H46" s="76">
        <f>F46+G46</f>
        <v>0</v>
      </c>
      <c r="I46" s="77">
        <v>0</v>
      </c>
      <c r="J46" s="31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customHeight="1" ht="15.75">
      <c r="A47"/>
      <c r="B47" s="71" t="s">
        <v>88</v>
      </c>
      <c r="C47" s="72" t="s">
        <v>89</v>
      </c>
      <c r="D47" s="73"/>
      <c r="E47" s="74"/>
      <c r="F47" s="75">
        <v>0</v>
      </c>
      <c r="G47" s="76">
        <v>0</v>
      </c>
      <c r="H47" s="76">
        <f>F47+G47</f>
        <v>0</v>
      </c>
      <c r="I47" s="77">
        <v>0</v>
      </c>
      <c r="J47" s="31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customHeight="1" ht="15.75">
      <c r="A48"/>
      <c r="B48" s="71" t="s">
        <v>90</v>
      </c>
      <c r="C48" s="72" t="s">
        <v>91</v>
      </c>
      <c r="D48" s="73"/>
      <c r="E48" s="74"/>
      <c r="F48" s="75">
        <v>0</v>
      </c>
      <c r="G48" s="76">
        <v>0</v>
      </c>
      <c r="H48" s="76">
        <f>F48+G48</f>
        <v>0</v>
      </c>
      <c r="I48" s="77">
        <v>0</v>
      </c>
      <c r="J48" s="31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customHeight="1" ht="15.75">
      <c r="A49"/>
      <c r="B49" s="71" t="s">
        <v>92</v>
      </c>
      <c r="C49" s="72" t="s">
        <v>93</v>
      </c>
      <c r="D49" s="73"/>
      <c r="E49" s="74"/>
      <c r="F49" s="75">
        <v>0</v>
      </c>
      <c r="G49" s="76">
        <v>-3</v>
      </c>
      <c r="H49" s="76">
        <f>F49+G49</f>
        <v>-3</v>
      </c>
      <c r="I49" s="77">
        <v>-3</v>
      </c>
      <c r="J49" s="31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customHeight="1" ht="15.75">
      <c r="A50"/>
      <c r="B50" s="71" t="s">
        <v>94</v>
      </c>
      <c r="C50" s="72" t="s">
        <v>95</v>
      </c>
      <c r="D50" s="73"/>
      <c r="E50" s="74"/>
      <c r="F50" s="75">
        <v>0</v>
      </c>
      <c r="G50" s="76">
        <v>0</v>
      </c>
      <c r="H50" s="76">
        <f>F50+G50</f>
        <v>0</v>
      </c>
      <c r="I50" s="77">
        <v>0</v>
      </c>
      <c r="J50" s="31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customHeight="1" ht="15.75">
      <c r="A51"/>
      <c r="B51" s="32">
        <v>1010301002</v>
      </c>
      <c r="C51" s="5" t="s">
        <v>96</v>
      </c>
      <c r="D51" s="38">
        <f>SUM(E52:E55)</f>
        <v>0</v>
      </c>
      <c r="E51" s="39"/>
      <c r="F51" s="38"/>
      <c r="G51" s="40"/>
      <c r="H51" s="39"/>
      <c r="I51" s="38">
        <v>0</v>
      </c>
      <c r="J51" s="39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customHeight="1" ht="15">
      <c r="A52"/>
      <c r="B52" s="17" t="s">
        <v>97</v>
      </c>
      <c r="C52" s="18" t="s">
        <v>98</v>
      </c>
      <c r="D52" s="23">
        <v>0</v>
      </c>
      <c r="E52" s="24">
        <v>0</v>
      </c>
      <c r="F52" s="33">
        <v>0</v>
      </c>
      <c r="G52" s="22">
        <v>0</v>
      </c>
      <c r="H52" s="22">
        <v>0</v>
      </c>
      <c r="I52" s="22">
        <v>0</v>
      </c>
      <c r="J52" s="22">
        <v>0</v>
      </c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customHeight="1" ht="15">
      <c r="A53"/>
      <c r="B53" s="17" t="s">
        <v>99</v>
      </c>
      <c r="C53" s="18" t="s">
        <v>100</v>
      </c>
      <c r="D53" s="23"/>
      <c r="E53" s="24">
        <v>0</v>
      </c>
      <c r="F53" s="25">
        <v>2</v>
      </c>
      <c r="G53" s="26">
        <v>-1</v>
      </c>
      <c r="H53" s="26">
        <f>IF(F53+G53&lt;0, F53+G53, F53+G53)</f>
        <v>1</v>
      </c>
      <c r="I53" s="22">
        <v>1</v>
      </c>
      <c r="J53" s="22">
        <v>0</v>
      </c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customHeight="1" ht="15">
      <c r="A54"/>
      <c r="B54" s="17" t="s">
        <v>101</v>
      </c>
      <c r="C54" s="18" t="s">
        <v>102</v>
      </c>
      <c r="D54" s="23">
        <v>0</v>
      </c>
      <c r="E54" s="24">
        <v>0</v>
      </c>
      <c r="F54" s="25">
        <v>0</v>
      </c>
      <c r="G54" s="26">
        <v>0</v>
      </c>
      <c r="H54" s="26">
        <v>0</v>
      </c>
      <c r="I54" s="22">
        <v>0</v>
      </c>
      <c r="J54" s="22">
        <v>0</v>
      </c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customHeight="1" ht="15.75">
      <c r="A55"/>
      <c r="B55" s="17" t="s">
        <v>103</v>
      </c>
      <c r="C55" s="18" t="s">
        <v>104</v>
      </c>
      <c r="D55" s="27">
        <v>0</v>
      </c>
      <c r="E55" s="28">
        <v>0</v>
      </c>
      <c r="F55" s="29">
        <v>0</v>
      </c>
      <c r="G55" s="30">
        <v>0</v>
      </c>
      <c r="H55" s="30">
        <v>0</v>
      </c>
      <c r="I55" s="22">
        <v>0</v>
      </c>
      <c r="J55" s="22">
        <v>0</v>
      </c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customHeight="1" ht="15.75">
      <c r="A56"/>
      <c r="B56" s="32">
        <v>1010301003</v>
      </c>
      <c r="C56" s="5" t="s">
        <v>105</v>
      </c>
      <c r="D56" s="38">
        <f>SUM(E57:E73)</f>
        <v>0</v>
      </c>
      <c r="E56" s="39"/>
      <c r="F56" s="38"/>
      <c r="G56" s="40"/>
      <c r="H56" s="39"/>
      <c r="I56" s="58">
        <v>0</v>
      </c>
      <c r="J56" s="47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customHeight="1" ht="15">
      <c r="A57"/>
      <c r="B57" s="17" t="s">
        <v>106</v>
      </c>
      <c r="C57" s="18" t="s">
        <v>107</v>
      </c>
      <c r="D57" s="23">
        <v>0</v>
      </c>
      <c r="E57" s="24">
        <v>0</v>
      </c>
      <c r="F57" s="33">
        <v>0</v>
      </c>
      <c r="G57" s="22">
        <v>0</v>
      </c>
      <c r="H57" s="22">
        <v>0</v>
      </c>
      <c r="I57" s="22">
        <v>0</v>
      </c>
      <c r="J57" s="22">
        <v>0</v>
      </c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customHeight="1" ht="15">
      <c r="A58"/>
      <c r="B58" s="17" t="s">
        <v>108</v>
      </c>
      <c r="C58" s="18" t="s">
        <v>109</v>
      </c>
      <c r="D58" s="23"/>
      <c r="E58" s="24">
        <v>0</v>
      </c>
      <c r="F58" s="25">
        <v>0</v>
      </c>
      <c r="G58" s="26">
        <v>0</v>
      </c>
      <c r="H58" s="26">
        <f>IF(F58+G58&lt;0, F58+G58, F58+G58)</f>
        <v>0</v>
      </c>
      <c r="I58" s="22">
        <v>0</v>
      </c>
      <c r="J58" s="22">
        <v>0</v>
      </c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customHeight="1" ht="15">
      <c r="A59"/>
      <c r="B59" s="17" t="s">
        <v>110</v>
      </c>
      <c r="C59" s="18" t="s">
        <v>111</v>
      </c>
      <c r="D59" s="23"/>
      <c r="E59" s="24">
        <v>0</v>
      </c>
      <c r="F59" s="25">
        <v>0</v>
      </c>
      <c r="G59" s="26">
        <v>0</v>
      </c>
      <c r="H59" s="26">
        <f>IF(F59+G59&lt;0, F59+G59, F59+G59)</f>
        <v>0</v>
      </c>
      <c r="I59" s="22">
        <v>0</v>
      </c>
      <c r="J59" s="22">
        <v>0</v>
      </c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customHeight="1" ht="15">
      <c r="A60"/>
      <c r="B60" s="17" t="s">
        <v>112</v>
      </c>
      <c r="C60" s="18" t="s">
        <v>113</v>
      </c>
      <c r="D60" s="23"/>
      <c r="E60" s="24">
        <v>0</v>
      </c>
      <c r="F60" s="25">
        <v>0</v>
      </c>
      <c r="G60" s="26">
        <v>-6</v>
      </c>
      <c r="H60" s="26">
        <f>IF(F60+G60&lt;0, F60+G60, F60+G60)</f>
        <v>-6</v>
      </c>
      <c r="I60" s="22">
        <v>-6</v>
      </c>
      <c r="J60" s="22">
        <v>0</v>
      </c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customHeight="1" ht="15">
      <c r="A61"/>
      <c r="B61" s="17" t="s">
        <v>114</v>
      </c>
      <c r="C61" s="18" t="s">
        <v>115</v>
      </c>
      <c r="D61" s="23"/>
      <c r="E61" s="24">
        <v>0</v>
      </c>
      <c r="F61" s="25">
        <v>0</v>
      </c>
      <c r="G61" s="26">
        <v>0</v>
      </c>
      <c r="H61" s="26">
        <f>IF(F61+G61&lt;0, F61+G61, F61+G61)</f>
        <v>0</v>
      </c>
      <c r="I61" s="22">
        <v>0</v>
      </c>
      <c r="J61" s="22">
        <v>0</v>
      </c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customHeight="1" ht="15">
      <c r="A62"/>
      <c r="B62" s="17" t="s">
        <v>116</v>
      </c>
      <c r="C62" s="18" t="s">
        <v>107</v>
      </c>
      <c r="D62" s="23"/>
      <c r="E62" s="24">
        <v>0</v>
      </c>
      <c r="F62" s="25">
        <v>0</v>
      </c>
      <c r="G62" s="26">
        <v>0</v>
      </c>
      <c r="H62" s="26">
        <f>IF(F62+G62&lt;0, F62+G62, F62+G62)</f>
        <v>0</v>
      </c>
      <c r="I62" s="22">
        <v>0</v>
      </c>
      <c r="J62" s="22">
        <v>0</v>
      </c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customHeight="1" ht="15">
      <c r="A63"/>
      <c r="B63" s="17" t="s">
        <v>117</v>
      </c>
      <c r="C63" s="18" t="s">
        <v>118</v>
      </c>
      <c r="D63" s="23"/>
      <c r="E63" s="24">
        <v>0</v>
      </c>
      <c r="F63" s="25">
        <v>0</v>
      </c>
      <c r="G63" s="26">
        <v>0</v>
      </c>
      <c r="H63" s="26">
        <f>IF(F63+G63&lt;0, F63+G63, F63+G63)</f>
        <v>0</v>
      </c>
      <c r="I63" s="22">
        <v>0</v>
      </c>
      <c r="J63" s="22">
        <v>0</v>
      </c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customHeight="1" ht="15">
      <c r="A64"/>
      <c r="B64" s="17" t="s">
        <v>119</v>
      </c>
      <c r="C64" s="18" t="s">
        <v>120</v>
      </c>
      <c r="D64" s="23">
        <v>0</v>
      </c>
      <c r="E64" s="24">
        <v>0</v>
      </c>
      <c r="F64" s="25">
        <v>0</v>
      </c>
      <c r="G64" s="26">
        <v>0</v>
      </c>
      <c r="H64" s="26">
        <v>0</v>
      </c>
      <c r="I64" s="22">
        <v>0</v>
      </c>
      <c r="J64" s="22">
        <v>0</v>
      </c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customHeight="1" ht="15">
      <c r="A65"/>
      <c r="B65" s="17" t="s">
        <v>121</v>
      </c>
      <c r="C65" s="18" t="s">
        <v>122</v>
      </c>
      <c r="D65" s="23"/>
      <c r="E65" s="24">
        <v>0</v>
      </c>
      <c r="F65" s="25">
        <v>0</v>
      </c>
      <c r="G65" s="26">
        <v>0</v>
      </c>
      <c r="H65" s="26">
        <f>IF(F65+G65&lt;0, F65+G65, F65+G65)</f>
        <v>0</v>
      </c>
      <c r="I65" s="22">
        <v>0</v>
      </c>
      <c r="J65" s="22">
        <v>0</v>
      </c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customHeight="1" ht="15">
      <c r="A66"/>
      <c r="B66" s="17" t="s">
        <v>123</v>
      </c>
      <c r="C66" s="18" t="s">
        <v>124</v>
      </c>
      <c r="D66" s="23"/>
      <c r="E66" s="24">
        <v>0</v>
      </c>
      <c r="F66" s="25">
        <v>0</v>
      </c>
      <c r="G66" s="26">
        <v>0</v>
      </c>
      <c r="H66" s="26">
        <f>IF(F66+G66&lt;0, F66+G66, F66+G66)</f>
        <v>0</v>
      </c>
      <c r="I66" s="22">
        <v>0</v>
      </c>
      <c r="J66" s="22">
        <v>0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customHeight="1" ht="15">
      <c r="A67"/>
      <c r="B67" s="17" t="s">
        <v>125</v>
      </c>
      <c r="C67" s="18" t="s">
        <v>126</v>
      </c>
      <c r="D67" s="23"/>
      <c r="E67" s="24">
        <v>0</v>
      </c>
      <c r="F67" s="25">
        <v>1</v>
      </c>
      <c r="G67" s="26">
        <v>-2</v>
      </c>
      <c r="H67" s="26">
        <f>IF(F67+G67&lt;0, F67+G67, F67+G67)</f>
        <v>-1</v>
      </c>
      <c r="I67" s="22">
        <v>-1</v>
      </c>
      <c r="J67" s="22">
        <v>0</v>
      </c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customHeight="1" ht="15">
      <c r="A68"/>
      <c r="B68" s="17" t="s">
        <v>97</v>
      </c>
      <c r="C68" s="18" t="s">
        <v>127</v>
      </c>
      <c r="D68" s="23"/>
      <c r="E68" s="24">
        <v>0</v>
      </c>
      <c r="F68" s="25">
        <v>2</v>
      </c>
      <c r="G68" s="26">
        <v>-5</v>
      </c>
      <c r="H68" s="26">
        <f>IF(F68+G68&lt;0, F68+G68, F68+G68)</f>
        <v>-3</v>
      </c>
      <c r="I68" s="22">
        <v>-3</v>
      </c>
      <c r="J68" s="22">
        <v>0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customHeight="1" ht="15">
      <c r="A69"/>
      <c r="B69" s="17" t="s">
        <v>99</v>
      </c>
      <c r="C69" s="18" t="s">
        <v>128</v>
      </c>
      <c r="D69" s="23">
        <v>0</v>
      </c>
      <c r="E69" s="24">
        <v>0</v>
      </c>
      <c r="F69" s="25">
        <v>0</v>
      </c>
      <c r="G69" s="26">
        <v>0</v>
      </c>
      <c r="H69" s="26">
        <v>0</v>
      </c>
      <c r="I69" s="22">
        <v>0</v>
      </c>
      <c r="J69" s="22">
        <v>0</v>
      </c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customHeight="1" ht="15">
      <c r="A70"/>
      <c r="B70" s="17" t="s">
        <v>101</v>
      </c>
      <c r="C70" s="18" t="s">
        <v>129</v>
      </c>
      <c r="D70" s="23">
        <v>0</v>
      </c>
      <c r="E70" s="24">
        <v>0</v>
      </c>
      <c r="F70" s="25">
        <v>0</v>
      </c>
      <c r="G70" s="26">
        <v>0</v>
      </c>
      <c r="H70" s="26">
        <v>0</v>
      </c>
      <c r="I70" s="22">
        <v>0</v>
      </c>
      <c r="J70" s="22">
        <v>0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customHeight="1" ht="15">
      <c r="A71"/>
      <c r="B71" s="17" t="s">
        <v>103</v>
      </c>
      <c r="C71" s="18" t="s">
        <v>130</v>
      </c>
      <c r="D71" s="23"/>
      <c r="E71" s="24">
        <v>0</v>
      </c>
      <c r="F71" s="25">
        <v>0</v>
      </c>
      <c r="G71" s="26">
        <v>0</v>
      </c>
      <c r="H71" s="26">
        <f>IF(F71+G71&lt;0, F71+G71, F71+G71)</f>
        <v>0</v>
      </c>
      <c r="I71" s="22">
        <v>0</v>
      </c>
      <c r="J71" s="22">
        <v>0</v>
      </c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customHeight="1" ht="15">
      <c r="A72"/>
      <c r="B72" s="17" t="s">
        <v>131</v>
      </c>
      <c r="C72" s="18" t="s">
        <v>132</v>
      </c>
      <c r="D72" s="23"/>
      <c r="E72" s="24">
        <v>0</v>
      </c>
      <c r="F72" s="25">
        <v>0</v>
      </c>
      <c r="G72" s="26">
        <v>0</v>
      </c>
      <c r="H72" s="26">
        <f>IF(F72+G72&lt;0, F72+G72, F72+G72)</f>
        <v>0</v>
      </c>
      <c r="I72" s="22">
        <v>0</v>
      </c>
      <c r="J72" s="22">
        <v>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customHeight="1" ht="15.75">
      <c r="A73"/>
      <c r="B73" s="17" t="s">
        <v>32</v>
      </c>
      <c r="C73" s="18" t="s">
        <v>133</v>
      </c>
      <c r="D73" s="23">
        <v>0</v>
      </c>
      <c r="E73" s="24">
        <v>0</v>
      </c>
      <c r="F73" s="29">
        <v>0</v>
      </c>
      <c r="G73" s="30">
        <v>0</v>
      </c>
      <c r="H73" s="30">
        <v>0</v>
      </c>
      <c r="I73" s="31">
        <v>0</v>
      </c>
      <c r="J73" s="31">
        <v>0</v>
      </c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customHeight="1" ht="15.75">
      <c r="A74"/>
      <c r="B74" s="32">
        <v>1010301004</v>
      </c>
      <c r="C74" s="5" t="s">
        <v>134</v>
      </c>
      <c r="D74" s="41">
        <f>SUM(E75:E81)</f>
        <v>0</v>
      </c>
      <c r="E74" s="42"/>
      <c r="F74" s="38"/>
      <c r="G74" s="40"/>
      <c r="H74" s="39"/>
      <c r="I74" s="38">
        <v>0</v>
      </c>
      <c r="J74" s="39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>
      <c r="A75"/>
      <c r="B75" s="17" t="s">
        <v>135</v>
      </c>
      <c r="C75" s="18" t="s">
        <v>136</v>
      </c>
      <c r="D75" s="23"/>
      <c r="E75" s="24">
        <v>0</v>
      </c>
      <c r="F75" s="33">
        <v>0</v>
      </c>
      <c r="G75" s="22">
        <v>0</v>
      </c>
      <c r="H75" s="22">
        <f>IF(F75+G75&lt;0, F75+G75, F75+G75)</f>
        <v>0</v>
      </c>
      <c r="I75" s="22">
        <v>0</v>
      </c>
      <c r="J75" s="22">
        <v>0</v>
      </c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>
      <c r="A76"/>
      <c r="B76" s="17" t="s">
        <v>137</v>
      </c>
      <c r="C76" s="18" t="s">
        <v>138</v>
      </c>
      <c r="D76" s="23">
        <v>0</v>
      </c>
      <c r="E76" s="24">
        <v>0</v>
      </c>
      <c r="F76" s="25">
        <v>0</v>
      </c>
      <c r="G76" s="26">
        <v>0</v>
      </c>
      <c r="H76" s="26">
        <v>0</v>
      </c>
      <c r="I76" s="22">
        <v>0</v>
      </c>
      <c r="J76" s="22">
        <v>0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customHeight="1" ht="15">
      <c r="A77"/>
      <c r="B77" s="17" t="s">
        <v>139</v>
      </c>
      <c r="C77" s="18" t="s">
        <v>140</v>
      </c>
      <c r="D77" s="23">
        <v>0</v>
      </c>
      <c r="E77" s="24">
        <v>0</v>
      </c>
      <c r="F77" s="25">
        <v>0</v>
      </c>
      <c r="G77" s="26">
        <v>0</v>
      </c>
      <c r="H77" s="26">
        <v>0</v>
      </c>
      <c r="I77" s="22">
        <v>0</v>
      </c>
      <c r="J77" s="22">
        <v>0</v>
      </c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customHeight="1" ht="15">
      <c r="A78"/>
      <c r="B78" s="71" t="s">
        <v>141</v>
      </c>
      <c r="C78" s="72" t="s">
        <v>142</v>
      </c>
      <c r="D78" s="73"/>
      <c r="E78" s="74"/>
      <c r="F78" s="75">
        <v>0</v>
      </c>
      <c r="G78" s="76">
        <v>0</v>
      </c>
      <c r="H78" s="76">
        <f>F78+G78</f>
        <v>0</v>
      </c>
      <c r="I78" s="77">
        <v>0</v>
      </c>
      <c r="J78" s="22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customHeight="1" ht="15">
      <c r="A79"/>
      <c r="B79" s="17" t="s">
        <v>143</v>
      </c>
      <c r="C79" s="18" t="s">
        <v>144</v>
      </c>
      <c r="D79" s="23"/>
      <c r="E79" s="24">
        <v>0</v>
      </c>
      <c r="F79" s="25">
        <v>0</v>
      </c>
      <c r="G79" s="26">
        <v>-4</v>
      </c>
      <c r="H79" s="26">
        <f>IF(F79+G79&lt;0, F79+G79, F79+G79)</f>
        <v>-4</v>
      </c>
      <c r="I79" s="22">
        <v>-4</v>
      </c>
      <c r="J79" s="22">
        <v>0</v>
      </c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customHeight="1" ht="15">
      <c r="A80"/>
      <c r="B80" s="17" t="s">
        <v>145</v>
      </c>
      <c r="C80" s="18" t="s">
        <v>146</v>
      </c>
      <c r="D80" s="23"/>
      <c r="E80" s="24">
        <v>0</v>
      </c>
      <c r="F80" s="25">
        <v>0</v>
      </c>
      <c r="G80" s="26">
        <v>0</v>
      </c>
      <c r="H80" s="26">
        <f>IF(F80+G80&lt;0, F80+G80, F80+G80)</f>
        <v>0</v>
      </c>
      <c r="I80" s="22">
        <v>0</v>
      </c>
      <c r="J80" s="22">
        <v>0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customHeight="1" ht="15.75">
      <c r="A81"/>
      <c r="B81" s="17" t="s">
        <v>147</v>
      </c>
      <c r="C81" s="18" t="s">
        <v>148</v>
      </c>
      <c r="D81" s="23">
        <v>0</v>
      </c>
      <c r="E81" s="24">
        <v>0</v>
      </c>
      <c r="F81" s="29">
        <v>0</v>
      </c>
      <c r="G81" s="30">
        <v>0</v>
      </c>
      <c r="H81" s="30">
        <v>0</v>
      </c>
      <c r="I81" s="31">
        <v>0</v>
      </c>
      <c r="J81" s="31">
        <v>0</v>
      </c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customHeight="1" ht="15.75">
      <c r="A82"/>
      <c r="B82" s="32">
        <v>1010301005</v>
      </c>
      <c r="C82" s="5" t="s">
        <v>149</v>
      </c>
      <c r="D82" s="41">
        <f>SUM(E83)</f>
        <v>0</v>
      </c>
      <c r="E82" s="42"/>
      <c r="F82" s="38"/>
      <c r="G82" s="40"/>
      <c r="H82" s="39"/>
      <c r="I82" s="38">
        <v>0</v>
      </c>
      <c r="J82" s="39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customHeight="1" ht="15.75">
      <c r="A83"/>
      <c r="B83" s="17" t="s">
        <v>103</v>
      </c>
      <c r="C83" s="18" t="s">
        <v>150</v>
      </c>
      <c r="D83" s="11">
        <v>0</v>
      </c>
      <c r="E83" s="12">
        <f>SUM(F84)</f>
        <v>0</v>
      </c>
      <c r="F83" s="34">
        <v>0</v>
      </c>
      <c r="G83" s="31">
        <v>0</v>
      </c>
      <c r="H83" s="31">
        <v>0</v>
      </c>
      <c r="I83" s="31">
        <v>0</v>
      </c>
      <c r="J83" s="31">
        <v>0</v>
      </c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customHeight="1" ht="15.75">
      <c r="A84"/>
      <c r="B84" s="32">
        <v>1010301006</v>
      </c>
      <c r="C84" s="5" t="s">
        <v>151</v>
      </c>
      <c r="D84" s="38">
        <f>SUM(E85:E120)</f>
        <v>0</v>
      </c>
      <c r="E84" s="59"/>
      <c r="F84" s="38"/>
      <c r="G84" s="40"/>
      <c r="H84" s="39"/>
      <c r="I84" s="38">
        <v>0</v>
      </c>
      <c r="J84" s="39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customHeight="1" ht="15">
      <c r="A85"/>
      <c r="B85" s="17" t="s">
        <v>152</v>
      </c>
      <c r="C85" s="18" t="s">
        <v>153</v>
      </c>
      <c r="D85" s="23">
        <v>0</v>
      </c>
      <c r="E85" s="24">
        <v>0</v>
      </c>
      <c r="F85" s="33">
        <v>0</v>
      </c>
      <c r="G85" s="22">
        <v>0</v>
      </c>
      <c r="H85" s="22">
        <v>0</v>
      </c>
      <c r="I85" s="22">
        <v>0</v>
      </c>
      <c r="J85" s="22">
        <v>0</v>
      </c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customHeight="1" ht="15">
      <c r="A86"/>
      <c r="B86" s="17" t="s">
        <v>154</v>
      </c>
      <c r="C86" s="18" t="s">
        <v>155</v>
      </c>
      <c r="D86" s="23"/>
      <c r="E86" s="24">
        <v>0</v>
      </c>
      <c r="F86" s="25">
        <v>0</v>
      </c>
      <c r="G86" s="26">
        <v>0</v>
      </c>
      <c r="H86" s="26">
        <f>IF(F86+G86&lt;0, F86+G86, F86+G86)</f>
        <v>0</v>
      </c>
      <c r="I86" s="22">
        <v>0</v>
      </c>
      <c r="J86" s="22">
        <v>0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customHeight="1" ht="15">
      <c r="A87"/>
      <c r="B87" s="17" t="s">
        <v>156</v>
      </c>
      <c r="C87" s="18" t="s">
        <v>157</v>
      </c>
      <c r="D87" s="23"/>
      <c r="E87" s="24">
        <v>0</v>
      </c>
      <c r="F87" s="25">
        <v>0</v>
      </c>
      <c r="G87" s="26">
        <v>0</v>
      </c>
      <c r="H87" s="26">
        <f>IF(F87+G87&lt;0, F87+G87, F87+G87)</f>
        <v>0</v>
      </c>
      <c r="I87" s="22">
        <v>0</v>
      </c>
      <c r="J87" s="22">
        <v>0</v>
      </c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customHeight="1" ht="15">
      <c r="A88"/>
      <c r="B88" s="17" t="s">
        <v>30</v>
      </c>
      <c r="C88" s="18" t="s">
        <v>158</v>
      </c>
      <c r="D88" s="23">
        <v>0</v>
      </c>
      <c r="E88" s="24">
        <v>0</v>
      </c>
      <c r="F88" s="25">
        <v>0</v>
      </c>
      <c r="G88" s="26">
        <v>0</v>
      </c>
      <c r="H88" s="26">
        <v>0</v>
      </c>
      <c r="I88" s="22">
        <v>0</v>
      </c>
      <c r="J88" s="22">
        <v>0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customHeight="1" ht="15">
      <c r="A89"/>
      <c r="B89" s="17" t="s">
        <v>123</v>
      </c>
      <c r="C89" s="18" t="s">
        <v>159</v>
      </c>
      <c r="D89" s="23">
        <v>0</v>
      </c>
      <c r="E89" s="24">
        <v>0</v>
      </c>
      <c r="F89" s="25">
        <v>0</v>
      </c>
      <c r="G89" s="26">
        <v>0</v>
      </c>
      <c r="H89" s="26">
        <v>0</v>
      </c>
      <c r="I89" s="22">
        <v>0</v>
      </c>
      <c r="J89" s="22">
        <v>0</v>
      </c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customHeight="1" ht="15">
      <c r="A90"/>
      <c r="B90" s="17" t="s">
        <v>131</v>
      </c>
      <c r="C90" s="18" t="s">
        <v>160</v>
      </c>
      <c r="D90" s="23">
        <v>0</v>
      </c>
      <c r="E90" s="24">
        <v>0</v>
      </c>
      <c r="F90" s="25">
        <v>0</v>
      </c>
      <c r="G90" s="26">
        <v>0</v>
      </c>
      <c r="H90" s="26">
        <v>0</v>
      </c>
      <c r="I90" s="22">
        <v>0</v>
      </c>
      <c r="J90" s="22">
        <v>0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customHeight="1" ht="15">
      <c r="A91"/>
      <c r="B91" s="17" t="s">
        <v>32</v>
      </c>
      <c r="C91" s="18" t="s">
        <v>161</v>
      </c>
      <c r="D91" s="23">
        <v>0</v>
      </c>
      <c r="E91" s="24">
        <v>0</v>
      </c>
      <c r="F91" s="25">
        <v>0</v>
      </c>
      <c r="G91" s="26">
        <v>0</v>
      </c>
      <c r="H91" s="26">
        <v>0</v>
      </c>
      <c r="I91" s="22">
        <v>0</v>
      </c>
      <c r="J91" s="22">
        <v>0</v>
      </c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customHeight="1" ht="15">
      <c r="A92"/>
      <c r="B92" s="17" t="s">
        <v>162</v>
      </c>
      <c r="C92" s="18" t="s">
        <v>163</v>
      </c>
      <c r="D92" s="23"/>
      <c r="E92" s="24">
        <v>0</v>
      </c>
      <c r="F92" s="25">
        <v>0</v>
      </c>
      <c r="G92" s="26">
        <v>0</v>
      </c>
      <c r="H92" s="26">
        <f>IF(F92+G92&lt;0, F92+G92, F92+G92)</f>
        <v>0</v>
      </c>
      <c r="I92" s="22">
        <v>0</v>
      </c>
      <c r="J92" s="22">
        <v>0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customHeight="1" ht="15">
      <c r="A93"/>
      <c r="B93" s="17" t="s">
        <v>164</v>
      </c>
      <c r="C93" s="18" t="s">
        <v>165</v>
      </c>
      <c r="D93" s="23">
        <v>0</v>
      </c>
      <c r="E93" s="24">
        <v>0</v>
      </c>
      <c r="F93" s="25">
        <v>0</v>
      </c>
      <c r="G93" s="26">
        <v>0</v>
      </c>
      <c r="H93" s="26">
        <v>0</v>
      </c>
      <c r="I93" s="22">
        <v>0</v>
      </c>
      <c r="J93" s="22">
        <v>0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customHeight="1" ht="15">
      <c r="A94"/>
      <c r="B94" s="17" t="s">
        <v>166</v>
      </c>
      <c r="C94" s="18" t="s">
        <v>167</v>
      </c>
      <c r="D94" s="23">
        <v>0</v>
      </c>
      <c r="E94" s="24">
        <v>0</v>
      </c>
      <c r="F94" s="25">
        <v>0</v>
      </c>
      <c r="G94" s="26">
        <v>0</v>
      </c>
      <c r="H94" s="26">
        <v>0</v>
      </c>
      <c r="I94" s="22">
        <v>0</v>
      </c>
      <c r="J94" s="22">
        <v>0</v>
      </c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customHeight="1" ht="15">
      <c r="A95"/>
      <c r="B95" s="17" t="s">
        <v>168</v>
      </c>
      <c r="C95" s="18" t="s">
        <v>169</v>
      </c>
      <c r="D95" s="23">
        <v>0</v>
      </c>
      <c r="E95" s="24">
        <v>0</v>
      </c>
      <c r="F95" s="25">
        <v>0</v>
      </c>
      <c r="G95" s="26">
        <v>0</v>
      </c>
      <c r="H95" s="26">
        <v>0</v>
      </c>
      <c r="I95" s="22">
        <v>0</v>
      </c>
      <c r="J95" s="22">
        <v>0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customHeight="1" ht="15">
      <c r="A96"/>
      <c r="B96" s="17" t="s">
        <v>36</v>
      </c>
      <c r="C96" s="18" t="s">
        <v>170</v>
      </c>
      <c r="D96" s="23">
        <v>0</v>
      </c>
      <c r="E96" s="24">
        <v>0</v>
      </c>
      <c r="F96" s="25">
        <v>0</v>
      </c>
      <c r="G96" s="26">
        <v>0</v>
      </c>
      <c r="H96" s="26">
        <v>0</v>
      </c>
      <c r="I96" s="22">
        <v>0</v>
      </c>
      <c r="J96" s="22">
        <v>0</v>
      </c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customHeight="1" ht="15">
      <c r="A97"/>
      <c r="B97" s="17" t="s">
        <v>38</v>
      </c>
      <c r="C97" s="18" t="s">
        <v>171</v>
      </c>
      <c r="D97" s="23">
        <v>0</v>
      </c>
      <c r="E97" s="24">
        <v>0</v>
      </c>
      <c r="F97" s="25">
        <v>0</v>
      </c>
      <c r="G97" s="26">
        <v>0</v>
      </c>
      <c r="H97" s="26">
        <v>0</v>
      </c>
      <c r="I97" s="22">
        <v>0</v>
      </c>
      <c r="J97" s="22">
        <v>0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customHeight="1" ht="15">
      <c r="A98"/>
      <c r="B98" s="17" t="s">
        <v>40</v>
      </c>
      <c r="C98" s="18" t="s">
        <v>172</v>
      </c>
      <c r="D98" s="23">
        <v>0</v>
      </c>
      <c r="E98" s="24">
        <v>0</v>
      </c>
      <c r="F98" s="25">
        <v>0</v>
      </c>
      <c r="G98" s="26">
        <v>0</v>
      </c>
      <c r="H98" s="26">
        <v>0</v>
      </c>
      <c r="I98" s="22">
        <v>0</v>
      </c>
      <c r="J98" s="22">
        <v>0</v>
      </c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customHeight="1" ht="15">
      <c r="A99"/>
      <c r="B99" s="17" t="s">
        <v>42</v>
      </c>
      <c r="C99" s="18" t="s">
        <v>173</v>
      </c>
      <c r="D99" s="23">
        <v>0</v>
      </c>
      <c r="E99" s="24">
        <v>0</v>
      </c>
      <c r="F99" s="25">
        <v>0</v>
      </c>
      <c r="G99" s="26">
        <v>0</v>
      </c>
      <c r="H99" s="26">
        <v>0</v>
      </c>
      <c r="I99" s="22">
        <v>0</v>
      </c>
      <c r="J99" s="22">
        <v>0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customHeight="1" ht="15">
      <c r="A100"/>
      <c r="B100" s="17" t="s">
        <v>174</v>
      </c>
      <c r="C100" s="18" t="s">
        <v>175</v>
      </c>
      <c r="D100" s="23">
        <v>0</v>
      </c>
      <c r="E100" s="24">
        <v>0</v>
      </c>
      <c r="F100" s="25">
        <v>0</v>
      </c>
      <c r="G100" s="26">
        <v>0</v>
      </c>
      <c r="H100" s="26">
        <v>0</v>
      </c>
      <c r="I100" s="22">
        <v>0</v>
      </c>
      <c r="J100" s="22">
        <v>0</v>
      </c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customHeight="1" ht="15">
      <c r="A101"/>
      <c r="B101" s="17" t="s">
        <v>44</v>
      </c>
      <c r="C101" s="18" t="s">
        <v>176</v>
      </c>
      <c r="D101" s="23"/>
      <c r="E101" s="24">
        <v>0</v>
      </c>
      <c r="F101" s="25">
        <v>0</v>
      </c>
      <c r="G101" s="26">
        <v>0</v>
      </c>
      <c r="H101" s="26">
        <f>IF(F101+G101&lt;0, F101+G101, F101+G101)</f>
        <v>0</v>
      </c>
      <c r="I101" s="22">
        <v>0</v>
      </c>
      <c r="J101" s="22">
        <v>0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customHeight="1" ht="15">
      <c r="A102"/>
      <c r="B102" s="17" t="s">
        <v>46</v>
      </c>
      <c r="C102" s="18" t="s">
        <v>177</v>
      </c>
      <c r="D102" s="23">
        <v>0</v>
      </c>
      <c r="E102" s="24">
        <v>0</v>
      </c>
      <c r="F102" s="25">
        <v>0</v>
      </c>
      <c r="G102" s="26">
        <v>0</v>
      </c>
      <c r="H102" s="26">
        <v>0</v>
      </c>
      <c r="I102" s="22">
        <v>0</v>
      </c>
      <c r="J102" s="22">
        <v>0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customHeight="1" ht="15">
      <c r="A103"/>
      <c r="B103" s="17" t="s">
        <v>48</v>
      </c>
      <c r="C103" s="18" t="s">
        <v>178</v>
      </c>
      <c r="D103" s="23">
        <v>0</v>
      </c>
      <c r="E103" s="24">
        <v>0</v>
      </c>
      <c r="F103" s="25">
        <v>0</v>
      </c>
      <c r="G103" s="26">
        <v>0</v>
      </c>
      <c r="H103" s="26">
        <v>0</v>
      </c>
      <c r="I103" s="22">
        <v>0</v>
      </c>
      <c r="J103" s="22">
        <v>0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customHeight="1" ht="15">
      <c r="A104"/>
      <c r="B104" s="17" t="s">
        <v>50</v>
      </c>
      <c r="C104" s="18" t="s">
        <v>179</v>
      </c>
      <c r="D104" s="23">
        <v>0</v>
      </c>
      <c r="E104" s="24">
        <v>0</v>
      </c>
      <c r="F104" s="25">
        <v>0</v>
      </c>
      <c r="G104" s="26">
        <v>0</v>
      </c>
      <c r="H104" s="26">
        <v>0</v>
      </c>
      <c r="I104" s="22">
        <v>0</v>
      </c>
      <c r="J104" s="22">
        <v>0</v>
      </c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customHeight="1" ht="15">
      <c r="A105"/>
      <c r="B105" s="17" t="s">
        <v>52</v>
      </c>
      <c r="C105" s="18" t="s">
        <v>180</v>
      </c>
      <c r="D105" s="23"/>
      <c r="E105" s="24">
        <v>0</v>
      </c>
      <c r="F105" s="25">
        <v>0</v>
      </c>
      <c r="G105" s="26">
        <v>-1</v>
      </c>
      <c r="H105" s="26">
        <f>IF(F105+G105&lt;0, F105+G105, F105+G105)</f>
        <v>-1</v>
      </c>
      <c r="I105" s="22">
        <v>-1</v>
      </c>
      <c r="J105" s="22">
        <v>0</v>
      </c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customHeight="1" ht="15">
      <c r="A106"/>
      <c r="B106" s="17" t="s">
        <v>54</v>
      </c>
      <c r="C106" s="18" t="s">
        <v>181</v>
      </c>
      <c r="D106" s="23">
        <v>0</v>
      </c>
      <c r="E106" s="24">
        <v>0</v>
      </c>
      <c r="F106" s="25">
        <v>0</v>
      </c>
      <c r="G106" s="26">
        <v>0</v>
      </c>
      <c r="H106" s="26">
        <v>0</v>
      </c>
      <c r="I106" s="22">
        <v>0</v>
      </c>
      <c r="J106" s="22">
        <v>0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customHeight="1" ht="15">
      <c r="A107"/>
      <c r="B107" s="17" t="s">
        <v>56</v>
      </c>
      <c r="C107" s="18" t="s">
        <v>182</v>
      </c>
      <c r="D107" s="23">
        <v>0</v>
      </c>
      <c r="E107" s="24">
        <v>0</v>
      </c>
      <c r="F107" s="25">
        <v>0</v>
      </c>
      <c r="G107" s="26">
        <v>0</v>
      </c>
      <c r="H107" s="26">
        <v>0</v>
      </c>
      <c r="I107" s="22">
        <v>0</v>
      </c>
      <c r="J107" s="22">
        <v>0</v>
      </c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customHeight="1" ht="15">
      <c r="A108"/>
      <c r="B108" s="17" t="s">
        <v>58</v>
      </c>
      <c r="C108" s="18" t="s">
        <v>183</v>
      </c>
      <c r="D108" s="23">
        <v>0</v>
      </c>
      <c r="E108" s="24">
        <v>0</v>
      </c>
      <c r="F108" s="25">
        <v>0</v>
      </c>
      <c r="G108" s="26">
        <v>0</v>
      </c>
      <c r="H108" s="26">
        <v>0</v>
      </c>
      <c r="I108" s="22">
        <v>0</v>
      </c>
      <c r="J108" s="22">
        <v>0</v>
      </c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customHeight="1" ht="15">
      <c r="A109"/>
      <c r="B109" s="17" t="s">
        <v>60</v>
      </c>
      <c r="C109" s="18" t="s">
        <v>184</v>
      </c>
      <c r="D109" s="23"/>
      <c r="E109" s="24">
        <v>0</v>
      </c>
      <c r="F109" s="25">
        <v>0</v>
      </c>
      <c r="G109" s="26">
        <v>0</v>
      </c>
      <c r="H109" s="26">
        <f>IF(F109+G109&lt;0, F109+G109, F109+G109)</f>
        <v>0</v>
      </c>
      <c r="I109" s="22">
        <v>0</v>
      </c>
      <c r="J109" s="22">
        <v>0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customHeight="1" ht="15">
      <c r="A110"/>
      <c r="B110" s="71" t="s">
        <v>70</v>
      </c>
      <c r="C110" s="72" t="s">
        <v>185</v>
      </c>
      <c r="D110" s="73"/>
      <c r="E110" s="74"/>
      <c r="F110" s="75">
        <v>0</v>
      </c>
      <c r="G110" s="76">
        <v>0</v>
      </c>
      <c r="H110" s="76">
        <f>F110+G110</f>
        <v>0</v>
      </c>
      <c r="I110" s="77">
        <v>0</v>
      </c>
      <c r="J110" s="22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customHeight="1" ht="15">
      <c r="A111"/>
      <c r="B111" s="71" t="s">
        <v>78</v>
      </c>
      <c r="C111" s="72" t="s">
        <v>186</v>
      </c>
      <c r="D111" s="73"/>
      <c r="E111" s="74"/>
      <c r="F111" s="75">
        <v>0</v>
      </c>
      <c r="G111" s="76">
        <v>0</v>
      </c>
      <c r="H111" s="76">
        <f>F111+G111</f>
        <v>0</v>
      </c>
      <c r="I111" s="77">
        <v>0</v>
      </c>
      <c r="J111" s="22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customHeight="1" ht="15">
      <c r="A112"/>
      <c r="B112" s="71" t="s">
        <v>86</v>
      </c>
      <c r="C112" s="72" t="s">
        <v>187</v>
      </c>
      <c r="D112" s="73">
        <v>25</v>
      </c>
      <c r="E112" s="74"/>
      <c r="F112" s="75">
        <v>15</v>
      </c>
      <c r="G112" s="76">
        <v>0</v>
      </c>
      <c r="H112" s="76">
        <f>F112+G112</f>
        <v>15</v>
      </c>
      <c r="I112" s="77">
        <v>40</v>
      </c>
      <c r="J112" s="2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customHeight="1" ht="15">
      <c r="A113"/>
      <c r="B113" s="71" t="s">
        <v>80</v>
      </c>
      <c r="C113" s="72" t="s">
        <v>188</v>
      </c>
      <c r="D113" s="73">
        <v>50</v>
      </c>
      <c r="E113" s="74"/>
      <c r="F113" s="75">
        <v>0</v>
      </c>
      <c r="G113" s="76">
        <v>0</v>
      </c>
      <c r="H113" s="76">
        <f>F113+G113</f>
        <v>0</v>
      </c>
      <c r="I113" s="77">
        <v>50</v>
      </c>
      <c r="J113" s="22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customHeight="1" ht="15">
      <c r="A114"/>
      <c r="B114" s="71" t="s">
        <v>82</v>
      </c>
      <c r="C114" s="72" t="s">
        <v>189</v>
      </c>
      <c r="D114" s="73">
        <v>50</v>
      </c>
      <c r="E114" s="74"/>
      <c r="F114" s="75">
        <v>0</v>
      </c>
      <c r="G114" s="76">
        <v>0</v>
      </c>
      <c r="H114" s="76">
        <f>F114+G114</f>
        <v>0</v>
      </c>
      <c r="I114" s="77">
        <v>50</v>
      </c>
      <c r="J114" s="22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customHeight="1" ht="15">
      <c r="A115"/>
      <c r="B115" s="71" t="s">
        <v>84</v>
      </c>
      <c r="C115" s="72" t="s">
        <v>190</v>
      </c>
      <c r="D115" s="73">
        <v>50</v>
      </c>
      <c r="E115" s="74"/>
      <c r="F115" s="75">
        <v>0</v>
      </c>
      <c r="G115" s="76">
        <v>0</v>
      </c>
      <c r="H115" s="76">
        <f>F115+G115</f>
        <v>0</v>
      </c>
      <c r="I115" s="77">
        <v>50</v>
      </c>
      <c r="J115" s="22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customHeight="1" ht="15">
      <c r="A116"/>
      <c r="B116" s="17" t="s">
        <v>62</v>
      </c>
      <c r="C116" s="18" t="s">
        <v>191</v>
      </c>
      <c r="D116" s="23"/>
      <c r="E116" s="24">
        <v>0</v>
      </c>
      <c r="F116" s="25">
        <v>0</v>
      </c>
      <c r="G116" s="26">
        <v>0</v>
      </c>
      <c r="H116" s="26">
        <f>IF(F116+G116&lt;0, F116+G116, F116+G116)</f>
        <v>0</v>
      </c>
      <c r="I116" s="22">
        <v>0</v>
      </c>
      <c r="J116" s="22">
        <v>0</v>
      </c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customHeight="1" ht="15">
      <c r="A117"/>
      <c r="B117" s="71" t="s">
        <v>74</v>
      </c>
      <c r="C117" s="72" t="s">
        <v>192</v>
      </c>
      <c r="D117" s="73"/>
      <c r="E117" s="74"/>
      <c r="F117" s="75">
        <v>0</v>
      </c>
      <c r="G117" s="76">
        <v>0</v>
      </c>
      <c r="H117" s="76">
        <f>F117+G117</f>
        <v>0</v>
      </c>
      <c r="I117" s="77">
        <v>0</v>
      </c>
      <c r="J117" s="22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customHeight="1" ht="15">
      <c r="A118"/>
      <c r="B118" s="17" t="s">
        <v>64</v>
      </c>
      <c r="C118" s="18" t="s">
        <v>193</v>
      </c>
      <c r="D118" s="23">
        <v>0</v>
      </c>
      <c r="E118" s="24">
        <v>0</v>
      </c>
      <c r="F118" s="25">
        <v>0</v>
      </c>
      <c r="G118" s="26">
        <v>0</v>
      </c>
      <c r="H118" s="26">
        <v>0</v>
      </c>
      <c r="I118" s="22">
        <v>0</v>
      </c>
      <c r="J118" s="22">
        <v>0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customHeight="1" ht="15">
      <c r="A119"/>
      <c r="B119" s="17" t="s">
        <v>66</v>
      </c>
      <c r="C119" s="18" t="s">
        <v>194</v>
      </c>
      <c r="D119" s="23"/>
      <c r="E119" s="24">
        <v>0</v>
      </c>
      <c r="F119" s="25">
        <v>0</v>
      </c>
      <c r="G119" s="26">
        <v>-50</v>
      </c>
      <c r="H119" s="26">
        <f>IF(F119+G119&lt;0, F119+G119, F119+G119)</f>
        <v>-50</v>
      </c>
      <c r="I119" s="22">
        <v>-50</v>
      </c>
      <c r="J119" s="22">
        <v>0</v>
      </c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customHeight="1" ht="15.75">
      <c r="A120"/>
      <c r="B120" s="17" t="s">
        <v>68</v>
      </c>
      <c r="C120" s="18" t="s">
        <v>195</v>
      </c>
      <c r="D120" s="27"/>
      <c r="E120" s="28">
        <v>0</v>
      </c>
      <c r="F120" s="29">
        <v>1100</v>
      </c>
      <c r="G120" s="30">
        <v>-173</v>
      </c>
      <c r="H120" s="30">
        <f>IF(F120+G120&lt;0, F120+G120, F120+G120)</f>
        <v>927</v>
      </c>
      <c r="I120" s="31">
        <v>927</v>
      </c>
      <c r="J120" s="31">
        <v>0</v>
      </c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customHeight="1" ht="15.75">
      <c r="A121"/>
      <c r="B121" s="71" t="s">
        <v>72</v>
      </c>
      <c r="C121" s="72" t="s">
        <v>196</v>
      </c>
      <c r="D121" s="73"/>
      <c r="E121" s="74"/>
      <c r="F121" s="75">
        <v>0</v>
      </c>
      <c r="G121" s="76">
        <v>0</v>
      </c>
      <c r="H121" s="76">
        <f>F121+G121</f>
        <v>0</v>
      </c>
      <c r="I121" s="77">
        <v>0</v>
      </c>
      <c r="J121" s="3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customHeight="1" ht="15.75">
      <c r="A122"/>
      <c r="B122" s="32">
        <v>1010301007</v>
      </c>
      <c r="C122" s="5" t="s">
        <v>197</v>
      </c>
      <c r="D122" s="38">
        <f>SUM(E123)</f>
        <v>0</v>
      </c>
      <c r="E122" s="39"/>
      <c r="F122" s="38"/>
      <c r="G122" s="40"/>
      <c r="H122" s="39"/>
      <c r="I122" s="38">
        <v>0</v>
      </c>
      <c r="J122" s="39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customHeight="1" ht="15.75">
      <c r="A123"/>
      <c r="B123" s="17" t="s">
        <v>141</v>
      </c>
      <c r="C123" s="18" t="s">
        <v>198</v>
      </c>
      <c r="D123" s="27">
        <v>0</v>
      </c>
      <c r="E123" s="28">
        <v>0</v>
      </c>
      <c r="F123" s="34">
        <v>0</v>
      </c>
      <c r="G123" s="31">
        <v>0</v>
      </c>
      <c r="H123" s="31">
        <v>0</v>
      </c>
      <c r="I123" s="31">
        <v>0</v>
      </c>
      <c r="J123" s="31">
        <v>0</v>
      </c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customHeight="1" ht="15.75">
      <c r="A124"/>
      <c r="B124" s="32">
        <v>1010301008</v>
      </c>
      <c r="C124" s="5" t="s">
        <v>199</v>
      </c>
      <c r="D124" s="38">
        <f>SUM(E125:E126)</f>
        <v>0</v>
      </c>
      <c r="E124" s="39"/>
      <c r="F124" s="38"/>
      <c r="G124" s="40"/>
      <c r="H124" s="39"/>
      <c r="I124" s="38">
        <v>0</v>
      </c>
      <c r="J124" s="39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>
      <c r="A125"/>
      <c r="B125" s="17" t="s">
        <v>200</v>
      </c>
      <c r="C125" s="18" t="s">
        <v>201</v>
      </c>
      <c r="D125" s="23"/>
      <c r="E125" s="24">
        <v>0</v>
      </c>
      <c r="F125" s="33">
        <v>0</v>
      </c>
      <c r="G125" s="22">
        <v>0</v>
      </c>
      <c r="H125" s="22">
        <f>IF(F125+G125&lt;0, F125+G125, F125+G125)</f>
        <v>0</v>
      </c>
      <c r="I125" s="22">
        <v>0</v>
      </c>
      <c r="J125" s="22">
        <v>0</v>
      </c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customHeight="1" ht="15.75">
      <c r="A126"/>
      <c r="B126" s="17" t="s">
        <v>202</v>
      </c>
      <c r="C126" s="18" t="s">
        <v>203</v>
      </c>
      <c r="D126" s="27">
        <v>0</v>
      </c>
      <c r="E126" s="28">
        <v>0</v>
      </c>
      <c r="F126" s="29">
        <v>0</v>
      </c>
      <c r="G126" s="30">
        <v>0</v>
      </c>
      <c r="H126" s="30">
        <v>0</v>
      </c>
      <c r="I126" s="31">
        <v>0</v>
      </c>
      <c r="J126" s="31">
        <v>0</v>
      </c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customHeight="1" ht="15.75">
      <c r="A127"/>
      <c r="B127" s="32">
        <v>1010301010</v>
      </c>
      <c r="C127" s="5" t="s">
        <v>204</v>
      </c>
      <c r="D127" s="38">
        <f>SUM(E129:E138)</f>
        <v>0</v>
      </c>
      <c r="E127" s="39"/>
      <c r="F127" s="38"/>
      <c r="G127" s="40"/>
      <c r="H127" s="39"/>
      <c r="I127" s="38">
        <v>0</v>
      </c>
      <c r="J127" s="39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customHeight="1" ht="15.75">
      <c r="A128"/>
      <c r="B128" s="71" t="s">
        <v>48</v>
      </c>
      <c r="C128" s="78" t="s">
        <v>205</v>
      </c>
      <c r="D128" s="79"/>
      <c r="E128" s="80"/>
      <c r="F128" s="79">
        <v>0</v>
      </c>
      <c r="G128" s="81">
        <v>0</v>
      </c>
      <c r="H128" s="80">
        <f>F128+G128</f>
        <v>0</v>
      </c>
      <c r="I128" s="82">
        <v>0</v>
      </c>
      <c r="J128" s="39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customHeight="1" ht="15">
      <c r="A129"/>
      <c r="B129" s="17" t="s">
        <v>206</v>
      </c>
      <c r="C129" s="18" t="s">
        <v>207</v>
      </c>
      <c r="D129" s="23"/>
      <c r="E129" s="24">
        <v>0</v>
      </c>
      <c r="F129" s="33">
        <v>0</v>
      </c>
      <c r="G129" s="22">
        <v>0</v>
      </c>
      <c r="H129" s="22">
        <f>IF(F129+G129&lt;0, F129+G129, F129+G129)</f>
        <v>0</v>
      </c>
      <c r="I129" s="22">
        <v>0</v>
      </c>
      <c r="J129" s="22">
        <v>0</v>
      </c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customHeight="1" ht="15">
      <c r="A130"/>
      <c r="B130" s="17" t="s">
        <v>208</v>
      </c>
      <c r="C130" s="18" t="s">
        <v>209</v>
      </c>
      <c r="D130" s="23">
        <v>0</v>
      </c>
      <c r="E130" s="24">
        <v>0</v>
      </c>
      <c r="F130" s="25">
        <v>0</v>
      </c>
      <c r="G130" s="26">
        <v>0</v>
      </c>
      <c r="H130" s="26">
        <v>0</v>
      </c>
      <c r="I130" s="22">
        <v>0</v>
      </c>
      <c r="J130" s="22">
        <v>0</v>
      </c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customHeight="1" ht="15">
      <c r="A131"/>
      <c r="B131" s="17" t="s">
        <v>34</v>
      </c>
      <c r="C131" s="18" t="s">
        <v>210</v>
      </c>
      <c r="D131" s="23"/>
      <c r="E131" s="24">
        <v>0</v>
      </c>
      <c r="F131" s="25">
        <v>0</v>
      </c>
      <c r="G131" s="26">
        <v>0</v>
      </c>
      <c r="H131" s="26">
        <f>IF(F131+G131&lt;0, F131+G131, F131+G131)</f>
        <v>0</v>
      </c>
      <c r="I131" s="22">
        <v>0</v>
      </c>
      <c r="J131" s="22">
        <v>0</v>
      </c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customHeight="1" ht="15">
      <c r="A132"/>
      <c r="B132" s="17" t="s">
        <v>168</v>
      </c>
      <c r="C132" s="18" t="s">
        <v>211</v>
      </c>
      <c r="D132" s="23">
        <v>0</v>
      </c>
      <c r="E132" s="24">
        <v>0</v>
      </c>
      <c r="F132" s="25">
        <v>0</v>
      </c>
      <c r="G132" s="26">
        <v>0</v>
      </c>
      <c r="H132" s="26">
        <v>0</v>
      </c>
      <c r="I132" s="22">
        <v>0</v>
      </c>
      <c r="J132" s="22">
        <v>0</v>
      </c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customHeight="1" ht="15">
      <c r="A133"/>
      <c r="B133" s="17" t="s">
        <v>38</v>
      </c>
      <c r="C133" s="18" t="s">
        <v>212</v>
      </c>
      <c r="D133" s="23"/>
      <c r="E133" s="24">
        <v>0</v>
      </c>
      <c r="F133" s="25">
        <v>0</v>
      </c>
      <c r="G133" s="26">
        <v>-2</v>
      </c>
      <c r="H133" s="26">
        <f>IF(F133+G133&lt;0, F133+G133, F133+G133)</f>
        <v>-2</v>
      </c>
      <c r="I133" s="22">
        <v>-2</v>
      </c>
      <c r="J133" s="22">
        <v>0</v>
      </c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customHeight="1" ht="15">
      <c r="A134"/>
      <c r="B134" s="17" t="s">
        <v>40</v>
      </c>
      <c r="C134" s="18" t="s">
        <v>213</v>
      </c>
      <c r="D134" s="23"/>
      <c r="E134" s="24">
        <v>0</v>
      </c>
      <c r="F134" s="25">
        <v>0</v>
      </c>
      <c r="G134" s="26">
        <v>0</v>
      </c>
      <c r="H134" s="26">
        <f>IF(F134+G134&lt;0, F134+G134, F134+G134)</f>
        <v>0</v>
      </c>
      <c r="I134" s="22">
        <v>0</v>
      </c>
      <c r="J134" s="22">
        <v>0</v>
      </c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customHeight="1" ht="15">
      <c r="A135"/>
      <c r="B135" s="17" t="s">
        <v>42</v>
      </c>
      <c r="C135" s="18" t="s">
        <v>214</v>
      </c>
      <c r="D135" s="23">
        <v>0</v>
      </c>
      <c r="E135" s="24">
        <v>0</v>
      </c>
      <c r="F135" s="25">
        <v>0</v>
      </c>
      <c r="G135" s="26">
        <v>0</v>
      </c>
      <c r="H135" s="26">
        <v>0</v>
      </c>
      <c r="I135" s="22">
        <v>0</v>
      </c>
      <c r="J135" s="22">
        <v>0</v>
      </c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customHeight="1" ht="15">
      <c r="A136"/>
      <c r="B136" s="17" t="s">
        <v>174</v>
      </c>
      <c r="C136" s="18" t="s">
        <v>215</v>
      </c>
      <c r="D136" s="23">
        <v>0</v>
      </c>
      <c r="E136" s="24">
        <v>0</v>
      </c>
      <c r="F136" s="25">
        <v>0</v>
      </c>
      <c r="G136" s="26">
        <v>0</v>
      </c>
      <c r="H136" s="26">
        <v>0</v>
      </c>
      <c r="I136" s="22">
        <v>0</v>
      </c>
      <c r="J136" s="22">
        <v>0</v>
      </c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customHeight="1" ht="15">
      <c r="A137"/>
      <c r="B137" s="17" t="s">
        <v>44</v>
      </c>
      <c r="C137" s="18" t="s">
        <v>216</v>
      </c>
      <c r="D137" s="23"/>
      <c r="E137" s="24">
        <v>0</v>
      </c>
      <c r="F137" s="25">
        <v>0</v>
      </c>
      <c r="G137" s="26">
        <v>0</v>
      </c>
      <c r="H137" s="26">
        <f>IF(F137+G137&lt;0, F137+G137, F137+G137)</f>
        <v>0</v>
      </c>
      <c r="I137" s="22">
        <v>0</v>
      </c>
      <c r="J137" s="22">
        <v>0</v>
      </c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customHeight="1" ht="15.75">
      <c r="A138"/>
      <c r="B138" s="17" t="s">
        <v>46</v>
      </c>
      <c r="C138" s="18" t="s">
        <v>217</v>
      </c>
      <c r="D138" s="23"/>
      <c r="E138" s="24">
        <v>0</v>
      </c>
      <c r="F138" s="29">
        <v>0</v>
      </c>
      <c r="G138" s="30">
        <v>0</v>
      </c>
      <c r="H138" s="30">
        <f>IF(F138+G138&lt;0, F138+G138, F138+G138)</f>
        <v>0</v>
      </c>
      <c r="I138" s="31">
        <v>0</v>
      </c>
      <c r="J138" s="31">
        <v>0</v>
      </c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customHeight="1" ht="15.75">
      <c r="A139"/>
      <c r="B139" s="32">
        <v>1010301011</v>
      </c>
      <c r="C139" s="5" t="s">
        <v>218</v>
      </c>
      <c r="D139" s="41">
        <f>SUM(E140)</f>
        <v>0</v>
      </c>
      <c r="E139" s="42"/>
      <c r="F139" s="38"/>
      <c r="G139" s="40"/>
      <c r="H139" s="39"/>
      <c r="I139" s="38">
        <v>0</v>
      </c>
      <c r="J139" s="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customHeight="1" ht="15.75">
      <c r="A140"/>
      <c r="B140" s="17" t="s">
        <v>219</v>
      </c>
      <c r="C140" s="18" t="s">
        <v>220</v>
      </c>
      <c r="D140" s="27">
        <v>0</v>
      </c>
      <c r="E140" s="28">
        <v>0</v>
      </c>
      <c r="F140" s="34">
        <v>0</v>
      </c>
      <c r="G140" s="31">
        <v>0</v>
      </c>
      <c r="H140" s="31">
        <v>0</v>
      </c>
      <c r="I140" s="31">
        <v>0</v>
      </c>
      <c r="J140" s="31">
        <v>0</v>
      </c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customHeight="1" ht="15.75">
      <c r="A141"/>
      <c r="B141" s="32">
        <v>1010301012</v>
      </c>
      <c r="C141" s="5" t="s">
        <v>221</v>
      </c>
      <c r="D141" s="38">
        <f>SUM(E142:E143)</f>
        <v>0</v>
      </c>
      <c r="E141" s="39"/>
      <c r="F141" s="38"/>
      <c r="G141" s="40"/>
      <c r="H141" s="39"/>
      <c r="I141" s="38">
        <v>0</v>
      </c>
      <c r="J141" s="39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customHeight="1" ht="15">
      <c r="A142"/>
      <c r="B142" s="17" t="s">
        <v>200</v>
      </c>
      <c r="C142" s="18" t="s">
        <v>222</v>
      </c>
      <c r="D142" s="23"/>
      <c r="E142" s="24">
        <v>0</v>
      </c>
      <c r="F142" s="33">
        <v>1</v>
      </c>
      <c r="G142" s="22">
        <v>-1</v>
      </c>
      <c r="H142" s="22">
        <f>IF(F142+G142&lt;0, F142+G142, F142+G142)</f>
        <v>0</v>
      </c>
      <c r="I142" s="22">
        <v>0</v>
      </c>
      <c r="J142" s="22">
        <v>0</v>
      </c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customHeight="1" ht="15.75">
      <c r="A143"/>
      <c r="B143" s="17" t="s">
        <v>202</v>
      </c>
      <c r="C143" s="18" t="s">
        <v>223</v>
      </c>
      <c r="D143" s="27">
        <v>0</v>
      </c>
      <c r="E143" s="28">
        <v>0</v>
      </c>
      <c r="F143" s="29">
        <v>0</v>
      </c>
      <c r="G143" s="30">
        <v>0</v>
      </c>
      <c r="H143" s="30">
        <v>0</v>
      </c>
      <c r="I143" s="31">
        <v>0</v>
      </c>
      <c r="J143" s="31">
        <v>0</v>
      </c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customHeight="1" ht="15.75">
      <c r="A144"/>
      <c r="B144" s="32">
        <v>1010301013</v>
      </c>
      <c r="C144" s="5" t="s">
        <v>224</v>
      </c>
      <c r="D144" s="38">
        <f>SUM(E145:E146)</f>
        <v>0</v>
      </c>
      <c r="E144" s="39"/>
      <c r="F144" s="38"/>
      <c r="G144" s="40"/>
      <c r="H144" s="39"/>
      <c r="I144" s="38">
        <v>0</v>
      </c>
      <c r="J144" s="39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customHeight="1" ht="15">
      <c r="A145"/>
      <c r="B145" s="17" t="s">
        <v>200</v>
      </c>
      <c r="C145" s="18" t="s">
        <v>225</v>
      </c>
      <c r="D145" s="23"/>
      <c r="E145" s="24">
        <v>0</v>
      </c>
      <c r="F145" s="33">
        <v>0</v>
      </c>
      <c r="G145" s="22">
        <v>-1</v>
      </c>
      <c r="H145" s="22">
        <f>IF(F145+G145&lt;0, F145+G145, F145+G145)</f>
        <v>-1</v>
      </c>
      <c r="I145" s="22">
        <v>-1</v>
      </c>
      <c r="J145" s="22">
        <v>0</v>
      </c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customHeight="1" ht="15.75">
      <c r="A146"/>
      <c r="B146" s="17" t="s">
        <v>202</v>
      </c>
      <c r="C146" s="18" t="s">
        <v>226</v>
      </c>
      <c r="D146" s="27"/>
      <c r="E146" s="28">
        <v>0</v>
      </c>
      <c r="F146" s="29">
        <v>1</v>
      </c>
      <c r="G146" s="30">
        <v>0</v>
      </c>
      <c r="H146" s="30">
        <f>IF(F146+G146&lt;0, F146+G146, F146+G146)</f>
        <v>1</v>
      </c>
      <c r="I146" s="30">
        <v>1</v>
      </c>
      <c r="J146" s="31">
        <v>0</v>
      </c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customHeight="1" ht="15.75">
      <c r="A147"/>
      <c r="B147" s="32">
        <v>1010301999</v>
      </c>
      <c r="C147" s="5" t="s">
        <v>227</v>
      </c>
      <c r="D147" s="38">
        <f>SUM(E148:E170)</f>
        <v>0</v>
      </c>
      <c r="E147" s="39"/>
      <c r="F147" s="38"/>
      <c r="G147" s="40"/>
      <c r="H147" s="39"/>
      <c r="I147" s="38">
        <v>0</v>
      </c>
      <c r="J147" s="39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customHeight="1" ht="15">
      <c r="A148"/>
      <c r="B148" s="17" t="s">
        <v>228</v>
      </c>
      <c r="C148" s="18" t="s">
        <v>229</v>
      </c>
      <c r="D148" s="23">
        <v>0</v>
      </c>
      <c r="E148" s="24">
        <v>0</v>
      </c>
      <c r="F148" s="33">
        <v>0</v>
      </c>
      <c r="G148" s="22">
        <v>0</v>
      </c>
      <c r="H148" s="22">
        <v>0</v>
      </c>
      <c r="I148" s="22">
        <v>0</v>
      </c>
      <c r="J148" s="22">
        <v>0</v>
      </c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customHeight="1" ht="15">
      <c r="A149"/>
      <c r="B149" s="17" t="s">
        <v>230</v>
      </c>
      <c r="C149" s="18" t="s">
        <v>231</v>
      </c>
      <c r="D149" s="23">
        <v>0</v>
      </c>
      <c r="E149" s="24">
        <v>0</v>
      </c>
      <c r="F149" s="25">
        <v>0</v>
      </c>
      <c r="G149" s="26">
        <v>0</v>
      </c>
      <c r="H149" s="26">
        <v>0</v>
      </c>
      <c r="I149" s="22">
        <v>0</v>
      </c>
      <c r="J149" s="22">
        <v>0</v>
      </c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customHeight="1" ht="15">
      <c r="A150"/>
      <c r="B150" s="17" t="s">
        <v>232</v>
      </c>
      <c r="C150" s="18" t="s">
        <v>233</v>
      </c>
      <c r="D150" s="23">
        <v>0</v>
      </c>
      <c r="E150" s="24">
        <v>0</v>
      </c>
      <c r="F150" s="25">
        <v>0</v>
      </c>
      <c r="G150" s="26">
        <v>0</v>
      </c>
      <c r="H150" s="26">
        <v>0</v>
      </c>
      <c r="I150" s="22">
        <v>0</v>
      </c>
      <c r="J150" s="22">
        <v>0</v>
      </c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customHeight="1" ht="15">
      <c r="A151"/>
      <c r="B151" s="17" t="s">
        <v>164</v>
      </c>
      <c r="C151" s="18" t="s">
        <v>234</v>
      </c>
      <c r="D151" s="23">
        <v>0</v>
      </c>
      <c r="E151" s="24">
        <v>0</v>
      </c>
      <c r="F151" s="25">
        <v>0</v>
      </c>
      <c r="G151" s="26">
        <v>0</v>
      </c>
      <c r="H151" s="26">
        <v>0</v>
      </c>
      <c r="I151" s="22">
        <v>0</v>
      </c>
      <c r="J151" s="22">
        <v>0</v>
      </c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customHeight="1" ht="15">
      <c r="A152"/>
      <c r="B152" s="17" t="s">
        <v>42</v>
      </c>
      <c r="C152" s="18" t="s">
        <v>235</v>
      </c>
      <c r="D152" s="23">
        <v>0</v>
      </c>
      <c r="E152" s="24">
        <v>0</v>
      </c>
      <c r="F152" s="25">
        <v>0</v>
      </c>
      <c r="G152" s="26">
        <v>0</v>
      </c>
      <c r="H152" s="26">
        <v>0</v>
      </c>
      <c r="I152" s="22">
        <v>0</v>
      </c>
      <c r="J152" s="22">
        <v>0</v>
      </c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customHeight="1" ht="15">
      <c r="A153"/>
      <c r="B153" s="17" t="s">
        <v>44</v>
      </c>
      <c r="C153" s="18" t="s">
        <v>236</v>
      </c>
      <c r="D153" s="23">
        <v>0</v>
      </c>
      <c r="E153" s="24">
        <v>0</v>
      </c>
      <c r="F153" s="25">
        <v>0</v>
      </c>
      <c r="G153" s="26">
        <v>0</v>
      </c>
      <c r="H153" s="26">
        <v>0</v>
      </c>
      <c r="I153" s="22">
        <v>0</v>
      </c>
      <c r="J153" s="22">
        <v>0</v>
      </c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customHeight="1" ht="15">
      <c r="A154"/>
      <c r="B154" s="17" t="s">
        <v>50</v>
      </c>
      <c r="C154" s="18" t="s">
        <v>237</v>
      </c>
      <c r="D154" s="23">
        <v>0</v>
      </c>
      <c r="E154" s="24">
        <v>0</v>
      </c>
      <c r="F154" s="25">
        <v>0</v>
      </c>
      <c r="G154" s="26">
        <v>0</v>
      </c>
      <c r="H154" s="26">
        <v>0</v>
      </c>
      <c r="I154" s="22">
        <v>0</v>
      </c>
      <c r="J154" s="22">
        <v>0</v>
      </c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customHeight="1" ht="15">
      <c r="A155"/>
      <c r="B155" s="17" t="s">
        <v>54</v>
      </c>
      <c r="C155" s="18" t="s">
        <v>238</v>
      </c>
      <c r="D155" s="23"/>
      <c r="E155" s="24">
        <v>0</v>
      </c>
      <c r="F155" s="25">
        <v>0</v>
      </c>
      <c r="G155" s="26">
        <v>0</v>
      </c>
      <c r="H155" s="26">
        <f>IF(F155+G155&lt;0, F155+G155, F155+G155)</f>
        <v>0</v>
      </c>
      <c r="I155" s="22">
        <v>0</v>
      </c>
      <c r="J155" s="22">
        <v>0</v>
      </c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customHeight="1" ht="15">
      <c r="A156"/>
      <c r="B156" s="17" t="s">
        <v>56</v>
      </c>
      <c r="C156" s="18" t="s">
        <v>239</v>
      </c>
      <c r="D156" s="23">
        <v>0</v>
      </c>
      <c r="E156" s="24">
        <v>0</v>
      </c>
      <c r="F156" s="25">
        <v>0</v>
      </c>
      <c r="G156" s="26">
        <v>0</v>
      </c>
      <c r="H156" s="26">
        <v>0</v>
      </c>
      <c r="I156" s="22">
        <v>0</v>
      </c>
      <c r="J156" s="22">
        <v>0</v>
      </c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customHeight="1" ht="15">
      <c r="A157"/>
      <c r="B157" s="17" t="s">
        <v>58</v>
      </c>
      <c r="C157" s="18" t="s">
        <v>240</v>
      </c>
      <c r="D157" s="23">
        <v>0</v>
      </c>
      <c r="E157" s="24">
        <v>0</v>
      </c>
      <c r="F157" s="25">
        <v>0</v>
      </c>
      <c r="G157" s="26">
        <v>0</v>
      </c>
      <c r="H157" s="26">
        <v>0</v>
      </c>
      <c r="I157" s="22">
        <v>0</v>
      </c>
      <c r="J157" s="22">
        <v>0</v>
      </c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customHeight="1" ht="15">
      <c r="A158"/>
      <c r="B158" s="17" t="s">
        <v>60</v>
      </c>
      <c r="C158" s="18" t="s">
        <v>241</v>
      </c>
      <c r="D158" s="23">
        <v>0</v>
      </c>
      <c r="E158" s="24">
        <v>0</v>
      </c>
      <c r="F158" s="25">
        <v>0</v>
      </c>
      <c r="G158" s="26">
        <v>0</v>
      </c>
      <c r="H158" s="26">
        <v>0</v>
      </c>
      <c r="I158" s="22">
        <v>0</v>
      </c>
      <c r="J158" s="22">
        <v>0</v>
      </c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customHeight="1" ht="15">
      <c r="A159"/>
      <c r="B159" s="17" t="s">
        <v>62</v>
      </c>
      <c r="C159" s="18" t="s">
        <v>242</v>
      </c>
      <c r="D159" s="23">
        <v>0</v>
      </c>
      <c r="E159" s="24">
        <v>0</v>
      </c>
      <c r="F159" s="25">
        <v>0</v>
      </c>
      <c r="G159" s="26">
        <v>0</v>
      </c>
      <c r="H159" s="26">
        <v>0</v>
      </c>
      <c r="I159" s="22">
        <v>0</v>
      </c>
      <c r="J159" s="22">
        <v>0</v>
      </c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customHeight="1" ht="15">
      <c r="A160"/>
      <c r="B160" s="17" t="s">
        <v>64</v>
      </c>
      <c r="C160" s="18" t="s">
        <v>243</v>
      </c>
      <c r="D160" s="23">
        <v>0</v>
      </c>
      <c r="E160" s="24">
        <v>0</v>
      </c>
      <c r="F160" s="25">
        <v>0</v>
      </c>
      <c r="G160" s="26">
        <v>0</v>
      </c>
      <c r="H160" s="26">
        <v>0</v>
      </c>
      <c r="I160" s="22">
        <v>0</v>
      </c>
      <c r="J160" s="22">
        <v>0</v>
      </c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customHeight="1" ht="15">
      <c r="A161"/>
      <c r="B161" s="17" t="s">
        <v>66</v>
      </c>
      <c r="C161" s="18" t="s">
        <v>244</v>
      </c>
      <c r="D161" s="23"/>
      <c r="E161" s="24">
        <v>0</v>
      </c>
      <c r="F161" s="25">
        <v>0</v>
      </c>
      <c r="G161" s="26">
        <v>-4</v>
      </c>
      <c r="H161" s="26">
        <f>IF(F161+G161&lt;0, F161+G161, F161+G161)</f>
        <v>-4</v>
      </c>
      <c r="I161" s="22">
        <v>-4</v>
      </c>
      <c r="J161" s="22">
        <v>0</v>
      </c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customHeight="1" ht="15">
      <c r="A162"/>
      <c r="B162" s="71" t="s">
        <v>245</v>
      </c>
      <c r="C162" s="72" t="s">
        <v>246</v>
      </c>
      <c r="D162" s="73"/>
      <c r="E162" s="74"/>
      <c r="F162" s="75">
        <v>0</v>
      </c>
      <c r="G162" s="76">
        <v>0</v>
      </c>
      <c r="H162" s="76">
        <f>F162+G162</f>
        <v>0</v>
      </c>
      <c r="I162" s="77">
        <v>0</v>
      </c>
      <c r="J162" s="2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customHeight="1" ht="15">
      <c r="A163"/>
      <c r="B163" s="17" t="s">
        <v>68</v>
      </c>
      <c r="C163" s="18" t="s">
        <v>247</v>
      </c>
      <c r="D163" s="23"/>
      <c r="E163" s="24">
        <v>0</v>
      </c>
      <c r="F163" s="25">
        <v>0</v>
      </c>
      <c r="G163" s="26">
        <v>0</v>
      </c>
      <c r="H163" s="26">
        <f>IF(F163+G163&lt;0, F163+G163, F163+G163)</f>
        <v>0</v>
      </c>
      <c r="I163" s="22">
        <v>0</v>
      </c>
      <c r="J163" s="22">
        <v>0</v>
      </c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customHeight="1" ht="15">
      <c r="A164"/>
      <c r="B164" s="17" t="s">
        <v>70</v>
      </c>
      <c r="C164" s="18" t="s">
        <v>248</v>
      </c>
      <c r="D164" s="23">
        <v>0</v>
      </c>
      <c r="E164" s="24">
        <v>0</v>
      </c>
      <c r="F164" s="25">
        <v>0</v>
      </c>
      <c r="G164" s="26">
        <v>0</v>
      </c>
      <c r="H164" s="26">
        <v>0</v>
      </c>
      <c r="I164" s="22">
        <v>0</v>
      </c>
      <c r="J164" s="22">
        <v>0</v>
      </c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customHeight="1" ht="15">
      <c r="A165"/>
      <c r="B165" s="71" t="s">
        <v>84</v>
      </c>
      <c r="C165" s="72" t="s">
        <v>249</v>
      </c>
      <c r="D165" s="73"/>
      <c r="E165" s="74"/>
      <c r="F165" s="75">
        <v>0</v>
      </c>
      <c r="G165" s="76">
        <v>-1</v>
      </c>
      <c r="H165" s="76">
        <f>F165+G165</f>
        <v>-1</v>
      </c>
      <c r="I165" s="77">
        <v>-1</v>
      </c>
      <c r="J165" s="22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customHeight="1" ht="15">
      <c r="A166"/>
      <c r="B166" s="71" t="s">
        <v>82</v>
      </c>
      <c r="C166" s="72" t="s">
        <v>250</v>
      </c>
      <c r="D166" s="73"/>
      <c r="E166" s="74"/>
      <c r="F166" s="75">
        <v>0</v>
      </c>
      <c r="G166" s="76">
        <v>0</v>
      </c>
      <c r="H166" s="76">
        <f>F166+G166</f>
        <v>0</v>
      </c>
      <c r="I166" s="77">
        <v>0</v>
      </c>
      <c r="J166" s="22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customHeight="1" ht="15">
      <c r="A167"/>
      <c r="B167" s="17" t="s">
        <v>72</v>
      </c>
      <c r="C167" s="18" t="s">
        <v>251</v>
      </c>
      <c r="D167" s="23"/>
      <c r="E167" s="24">
        <v>0</v>
      </c>
      <c r="F167" s="25">
        <v>0</v>
      </c>
      <c r="G167" s="26">
        <v>0</v>
      </c>
      <c r="H167" s="26">
        <f>IF(F167+G167&lt;0, F167+G167, F167+G167)</f>
        <v>0</v>
      </c>
      <c r="I167" s="22">
        <v>0</v>
      </c>
      <c r="J167" s="22">
        <v>0</v>
      </c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customHeight="1" ht="15">
      <c r="A168"/>
      <c r="B168" s="17" t="s">
        <v>74</v>
      </c>
      <c r="C168" s="18" t="s">
        <v>252</v>
      </c>
      <c r="D168" s="23"/>
      <c r="E168" s="24">
        <v>0</v>
      </c>
      <c r="F168" s="25">
        <v>0</v>
      </c>
      <c r="G168" s="26">
        <v>0</v>
      </c>
      <c r="H168" s="26">
        <f>IF(F168+G168&lt;0, F168+G168, F168+G168)</f>
        <v>0</v>
      </c>
      <c r="I168" s="22">
        <v>0</v>
      </c>
      <c r="J168" s="22">
        <v>0</v>
      </c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customHeight="1" ht="15">
      <c r="A169"/>
      <c r="B169" s="17" t="s">
        <v>76</v>
      </c>
      <c r="C169" s="18" t="s">
        <v>253</v>
      </c>
      <c r="D169" s="23">
        <v>0</v>
      </c>
      <c r="E169" s="24">
        <v>0</v>
      </c>
      <c r="F169" s="25">
        <v>0</v>
      </c>
      <c r="G169" s="26">
        <v>0</v>
      </c>
      <c r="H169" s="26">
        <v>0</v>
      </c>
      <c r="I169" s="22">
        <v>0</v>
      </c>
      <c r="J169" s="22">
        <v>0</v>
      </c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customHeight="1" ht="15.75">
      <c r="A170"/>
      <c r="B170" s="17" t="s">
        <v>78</v>
      </c>
      <c r="C170" s="18" t="s">
        <v>254</v>
      </c>
      <c r="D170" s="27"/>
      <c r="E170" s="28">
        <v>0</v>
      </c>
      <c r="F170" s="29">
        <v>0</v>
      </c>
      <c r="G170" s="30">
        <v>0</v>
      </c>
      <c r="H170" s="30">
        <f>IF(F170+G170&lt;0, F170+G170, F170+G170)</f>
        <v>0</v>
      </c>
      <c r="I170" s="31">
        <v>0</v>
      </c>
      <c r="J170" s="31">
        <v>0</v>
      </c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customHeight="1" ht="15.75">
      <c r="A171"/>
      <c r="B171" s="71" t="s">
        <v>80</v>
      </c>
      <c r="C171" s="72" t="s">
        <v>255</v>
      </c>
      <c r="D171" s="73"/>
      <c r="E171" s="74"/>
      <c r="F171" s="75">
        <v>0</v>
      </c>
      <c r="G171" s="76">
        <v>-2</v>
      </c>
      <c r="H171" s="76">
        <f>F171+G171</f>
        <v>-2</v>
      </c>
      <c r="I171" s="77">
        <v>-2</v>
      </c>
      <c r="J171" s="3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customHeight="1" ht="15.75">
      <c r="A172"/>
      <c r="B172" s="32">
        <v>1010302001</v>
      </c>
      <c r="C172" s="5" t="s">
        <v>256</v>
      </c>
      <c r="D172" s="38">
        <f>SUM(E175:E189)</f>
        <v>0</v>
      </c>
      <c r="E172" s="39"/>
      <c r="F172" s="38"/>
      <c r="G172" s="40"/>
      <c r="H172" s="39"/>
      <c r="I172" s="38">
        <v>0</v>
      </c>
      <c r="J172" s="39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customHeight="1" ht="15.75">
      <c r="A173"/>
      <c r="B173" s="71" t="s">
        <v>257</v>
      </c>
      <c r="C173" s="78" t="s">
        <v>258</v>
      </c>
      <c r="D173" s="79"/>
      <c r="E173" s="80"/>
      <c r="F173" s="79">
        <v>0</v>
      </c>
      <c r="G173" s="81">
        <v>-28</v>
      </c>
      <c r="H173" s="80">
        <f>F173+G173</f>
        <v>-28</v>
      </c>
      <c r="I173" s="82">
        <v>-28</v>
      </c>
      <c r="J173" s="39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customHeight="1" ht="15.75">
      <c r="A174"/>
      <c r="B174" s="71" t="s">
        <v>259</v>
      </c>
      <c r="C174" s="78" t="s">
        <v>260</v>
      </c>
      <c r="D174" s="79"/>
      <c r="E174" s="80"/>
      <c r="F174" s="79">
        <v>0</v>
      </c>
      <c r="G174" s="81">
        <v>-5</v>
      </c>
      <c r="H174" s="80">
        <f>F174+G174</f>
        <v>-5</v>
      </c>
      <c r="I174" s="82">
        <v>-5</v>
      </c>
      <c r="J174" s="39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customHeight="1" ht="15">
      <c r="A175"/>
      <c r="B175" s="17" t="s">
        <v>261</v>
      </c>
      <c r="C175" s="18" t="s">
        <v>262</v>
      </c>
      <c r="D175" s="23">
        <v>0</v>
      </c>
      <c r="E175" s="24">
        <v>0</v>
      </c>
      <c r="F175" s="33">
        <v>0</v>
      </c>
      <c r="G175" s="22">
        <v>0</v>
      </c>
      <c r="H175" s="22">
        <v>0</v>
      </c>
      <c r="I175" s="22">
        <v>0</v>
      </c>
      <c r="J175" s="22">
        <v>0</v>
      </c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customHeight="1" ht="15">
      <c r="A176"/>
      <c r="B176" s="17" t="s">
        <v>263</v>
      </c>
      <c r="C176" s="18" t="s">
        <v>264</v>
      </c>
      <c r="D176" s="23">
        <v>0</v>
      </c>
      <c r="E176" s="24">
        <v>0</v>
      </c>
      <c r="F176" s="25">
        <v>0</v>
      </c>
      <c r="G176" s="26">
        <v>0</v>
      </c>
      <c r="H176" s="26">
        <v>0</v>
      </c>
      <c r="I176" s="22">
        <v>0</v>
      </c>
      <c r="J176" s="22">
        <v>0</v>
      </c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customHeight="1" ht="15">
      <c r="A177"/>
      <c r="B177" s="17" t="s">
        <v>265</v>
      </c>
      <c r="C177" s="18" t="s">
        <v>266</v>
      </c>
      <c r="D177" s="23">
        <v>0</v>
      </c>
      <c r="E177" s="24">
        <v>0</v>
      </c>
      <c r="F177" s="25">
        <v>0</v>
      </c>
      <c r="G177" s="26">
        <v>0</v>
      </c>
      <c r="H177" s="26">
        <v>0</v>
      </c>
      <c r="I177" s="22">
        <v>0</v>
      </c>
      <c r="J177" s="22">
        <v>0</v>
      </c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customHeight="1" ht="15">
      <c r="A178"/>
      <c r="B178" s="17" t="s">
        <v>267</v>
      </c>
      <c r="C178" s="18" t="s">
        <v>268</v>
      </c>
      <c r="D178" s="23">
        <v>0</v>
      </c>
      <c r="E178" s="24">
        <v>0</v>
      </c>
      <c r="F178" s="25">
        <v>0</v>
      </c>
      <c r="G178" s="26">
        <v>0</v>
      </c>
      <c r="H178" s="26">
        <v>0</v>
      </c>
      <c r="I178" s="22">
        <v>0</v>
      </c>
      <c r="J178" s="22">
        <v>0</v>
      </c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customHeight="1" ht="15">
      <c r="A179"/>
      <c r="B179" s="17" t="s">
        <v>116</v>
      </c>
      <c r="C179" s="18" t="s">
        <v>269</v>
      </c>
      <c r="D179" s="23">
        <v>0</v>
      </c>
      <c r="E179" s="24">
        <v>0</v>
      </c>
      <c r="F179" s="25">
        <v>0</v>
      </c>
      <c r="G179" s="26">
        <v>0</v>
      </c>
      <c r="H179" s="26">
        <v>0</v>
      </c>
      <c r="I179" s="22">
        <v>0</v>
      </c>
      <c r="J179" s="22">
        <v>0</v>
      </c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customHeight="1" ht="15">
      <c r="A180"/>
      <c r="B180" s="17" t="s">
        <v>270</v>
      </c>
      <c r="C180" s="18" t="s">
        <v>271</v>
      </c>
      <c r="D180" s="23">
        <v>0</v>
      </c>
      <c r="E180" s="24">
        <v>0</v>
      </c>
      <c r="F180" s="25">
        <v>0</v>
      </c>
      <c r="G180" s="26">
        <v>0</v>
      </c>
      <c r="H180" s="26">
        <v>0</v>
      </c>
      <c r="I180" s="22">
        <v>0</v>
      </c>
      <c r="J180" s="22">
        <v>0</v>
      </c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customHeight="1" ht="15">
      <c r="A181"/>
      <c r="B181" s="17" t="s">
        <v>272</v>
      </c>
      <c r="C181" s="18" t="s">
        <v>273</v>
      </c>
      <c r="D181" s="23">
        <v>0</v>
      </c>
      <c r="E181" s="24">
        <v>0</v>
      </c>
      <c r="F181" s="25">
        <v>0</v>
      </c>
      <c r="G181" s="26">
        <v>0</v>
      </c>
      <c r="H181" s="26">
        <v>0</v>
      </c>
      <c r="I181" s="22">
        <v>0</v>
      </c>
      <c r="J181" s="22">
        <v>0</v>
      </c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customHeight="1" ht="15">
      <c r="A182"/>
      <c r="B182" s="17" t="s">
        <v>274</v>
      </c>
      <c r="C182" s="18" t="s">
        <v>275</v>
      </c>
      <c r="D182" s="23">
        <v>0</v>
      </c>
      <c r="E182" s="24">
        <v>0</v>
      </c>
      <c r="F182" s="25">
        <v>0</v>
      </c>
      <c r="G182" s="26">
        <v>0</v>
      </c>
      <c r="H182" s="26">
        <v>0</v>
      </c>
      <c r="I182" s="22">
        <v>0</v>
      </c>
      <c r="J182" s="22">
        <v>0</v>
      </c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customHeight="1" ht="15">
      <c r="A183"/>
      <c r="B183" s="17" t="s">
        <v>276</v>
      </c>
      <c r="C183" s="18" t="s">
        <v>277</v>
      </c>
      <c r="D183" s="23">
        <v>0</v>
      </c>
      <c r="E183" s="24">
        <v>0</v>
      </c>
      <c r="F183" s="25">
        <v>0</v>
      </c>
      <c r="G183" s="26">
        <v>0</v>
      </c>
      <c r="H183" s="26">
        <v>0</v>
      </c>
      <c r="I183" s="22">
        <v>0</v>
      </c>
      <c r="J183" s="22">
        <v>0</v>
      </c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customHeight="1" ht="15">
      <c r="A184"/>
      <c r="B184" s="17" t="s">
        <v>278</v>
      </c>
      <c r="C184" s="18" t="s">
        <v>279</v>
      </c>
      <c r="D184" s="23"/>
      <c r="E184" s="24">
        <v>0</v>
      </c>
      <c r="F184" s="25">
        <v>2</v>
      </c>
      <c r="G184" s="26">
        <v>-2</v>
      </c>
      <c r="H184" s="26">
        <f>IF(F184+G184&lt;0, F184+G184, F184+G184)</f>
        <v>0</v>
      </c>
      <c r="I184" s="22">
        <v>0</v>
      </c>
      <c r="J184" s="22">
        <v>0</v>
      </c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customHeight="1" ht="15">
      <c r="A185"/>
      <c r="B185" s="17" t="s">
        <v>280</v>
      </c>
      <c r="C185" s="18" t="s">
        <v>281</v>
      </c>
      <c r="D185" s="23"/>
      <c r="E185" s="24">
        <v>0</v>
      </c>
      <c r="F185" s="25">
        <v>0</v>
      </c>
      <c r="G185" s="26">
        <v>0</v>
      </c>
      <c r="H185" s="26">
        <f>IF(F185+G185&lt;0, F185+G185, F185+G185)</f>
        <v>0</v>
      </c>
      <c r="I185" s="22">
        <v>0</v>
      </c>
      <c r="J185" s="22">
        <v>0</v>
      </c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customHeight="1" ht="15">
      <c r="A186"/>
      <c r="B186" s="17" t="s">
        <v>282</v>
      </c>
      <c r="C186" s="18" t="s">
        <v>283</v>
      </c>
      <c r="D186" s="23">
        <v>0</v>
      </c>
      <c r="E186" s="24">
        <v>0</v>
      </c>
      <c r="F186" s="25">
        <v>0</v>
      </c>
      <c r="G186" s="26">
        <v>0</v>
      </c>
      <c r="H186" s="26">
        <v>0</v>
      </c>
      <c r="I186" s="22">
        <v>0</v>
      </c>
      <c r="J186" s="22">
        <v>0</v>
      </c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customHeight="1" ht="15">
      <c r="A187"/>
      <c r="B187" s="17" t="s">
        <v>284</v>
      </c>
      <c r="C187" s="18" t="s">
        <v>285</v>
      </c>
      <c r="D187" s="23">
        <v>0</v>
      </c>
      <c r="E187" s="24">
        <v>0</v>
      </c>
      <c r="F187" s="25">
        <v>0</v>
      </c>
      <c r="G187" s="26">
        <v>0</v>
      </c>
      <c r="H187" s="26">
        <v>0</v>
      </c>
      <c r="I187" s="22">
        <v>0</v>
      </c>
      <c r="J187" s="22">
        <v>0</v>
      </c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customHeight="1" ht="15">
      <c r="A188"/>
      <c r="B188" s="17" t="s">
        <v>286</v>
      </c>
      <c r="C188" s="18" t="s">
        <v>287</v>
      </c>
      <c r="D188" s="23">
        <v>0</v>
      </c>
      <c r="E188" s="24">
        <v>0</v>
      </c>
      <c r="F188" s="25">
        <v>0</v>
      </c>
      <c r="G188" s="26">
        <v>0</v>
      </c>
      <c r="H188" s="26">
        <v>0</v>
      </c>
      <c r="I188" s="22">
        <v>0</v>
      </c>
      <c r="J188" s="22">
        <v>0</v>
      </c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customHeight="1" ht="15.75">
      <c r="A189"/>
      <c r="B189" s="17" t="s">
        <v>288</v>
      </c>
      <c r="C189" s="18" t="s">
        <v>289</v>
      </c>
      <c r="D189" s="27"/>
      <c r="E189" s="28">
        <v>0</v>
      </c>
      <c r="F189" s="29">
        <v>0</v>
      </c>
      <c r="G189" s="30">
        <v>-3</v>
      </c>
      <c r="H189" s="30">
        <f>IF(F189+G189&lt;0, F189+G189, F189+G189)</f>
        <v>-3</v>
      </c>
      <c r="I189" s="31">
        <v>-3</v>
      </c>
      <c r="J189" s="31">
        <v>0</v>
      </c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customHeight="1" ht="15.75">
      <c r="A190"/>
      <c r="B190" s="32">
        <v>1010302002</v>
      </c>
      <c r="C190" s="5" t="s">
        <v>290</v>
      </c>
      <c r="D190" s="38">
        <f>SUM(E191:E198)</f>
        <v>0</v>
      </c>
      <c r="E190" s="39"/>
      <c r="F190" s="38"/>
      <c r="G190" s="40"/>
      <c r="H190" s="39"/>
      <c r="I190" s="38">
        <v>0</v>
      </c>
      <c r="J190" s="39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customHeight="1" ht="15">
      <c r="A191"/>
      <c r="B191" s="17" t="s">
        <v>114</v>
      </c>
      <c r="C191" s="18" t="s">
        <v>291</v>
      </c>
      <c r="D191" s="23">
        <v>0</v>
      </c>
      <c r="E191" s="24">
        <v>0</v>
      </c>
      <c r="F191" s="33">
        <v>0</v>
      </c>
      <c r="G191" s="22">
        <v>0</v>
      </c>
      <c r="H191" s="22">
        <v>0</v>
      </c>
      <c r="I191" s="22">
        <v>0</v>
      </c>
      <c r="J191" s="22">
        <v>0</v>
      </c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customHeight="1" ht="15">
      <c r="A192"/>
      <c r="B192" s="17" t="s">
        <v>292</v>
      </c>
      <c r="C192" s="18" t="s">
        <v>293</v>
      </c>
      <c r="D192" s="23">
        <v>0</v>
      </c>
      <c r="E192" s="24">
        <v>0</v>
      </c>
      <c r="F192" s="25">
        <v>0</v>
      </c>
      <c r="G192" s="26">
        <v>0</v>
      </c>
      <c r="H192" s="26">
        <v>0</v>
      </c>
      <c r="I192" s="22">
        <v>0</v>
      </c>
      <c r="J192" s="22">
        <v>0</v>
      </c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customHeight="1" ht="15">
      <c r="A193"/>
      <c r="B193" s="17" t="s">
        <v>294</v>
      </c>
      <c r="C193" s="18" t="s">
        <v>295</v>
      </c>
      <c r="D193" s="23"/>
      <c r="E193" s="24">
        <v>0</v>
      </c>
      <c r="F193" s="25">
        <v>0</v>
      </c>
      <c r="G193" s="26">
        <v>0</v>
      </c>
      <c r="H193" s="26">
        <f>IF(F193+G193&lt;0, F193+G193, F193+G193)</f>
        <v>0</v>
      </c>
      <c r="I193" s="26">
        <v>0</v>
      </c>
      <c r="J193" s="22">
        <v>0</v>
      </c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customHeight="1" ht="15">
      <c r="A194"/>
      <c r="B194" s="17" t="s">
        <v>296</v>
      </c>
      <c r="C194" s="18" t="s">
        <v>297</v>
      </c>
      <c r="D194" s="23"/>
      <c r="E194" s="24">
        <v>0</v>
      </c>
      <c r="F194" s="25">
        <v>0</v>
      </c>
      <c r="G194" s="26">
        <v>0</v>
      </c>
      <c r="H194" s="26">
        <f>IF(F194+G194&lt;0, F194+G194, F194+G194)</f>
        <v>0</v>
      </c>
      <c r="I194" s="22">
        <v>0</v>
      </c>
      <c r="J194" s="22">
        <v>0</v>
      </c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customHeight="1" ht="15">
      <c r="A195"/>
      <c r="B195" s="17" t="s">
        <v>267</v>
      </c>
      <c r="C195" s="18" t="s">
        <v>298</v>
      </c>
      <c r="D195" s="23">
        <v>0</v>
      </c>
      <c r="E195" s="24">
        <v>0</v>
      </c>
      <c r="F195" s="25">
        <v>0</v>
      </c>
      <c r="G195" s="26">
        <v>0</v>
      </c>
      <c r="H195" s="26">
        <v>0</v>
      </c>
      <c r="I195" s="26">
        <v>0</v>
      </c>
      <c r="J195" s="22">
        <v>0</v>
      </c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customHeight="1" ht="15">
      <c r="A196"/>
      <c r="B196" s="71" t="s">
        <v>276</v>
      </c>
      <c r="C196" s="72" t="s">
        <v>299</v>
      </c>
      <c r="D196" s="73"/>
      <c r="E196" s="74"/>
      <c r="F196" s="75">
        <v>0</v>
      </c>
      <c r="G196" s="76">
        <v>0</v>
      </c>
      <c r="H196" s="76">
        <f>F196+G196</f>
        <v>0</v>
      </c>
      <c r="I196" s="77">
        <v>0</v>
      </c>
      <c r="J196" s="22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customHeight="1" ht="15">
      <c r="A197"/>
      <c r="B197" s="17" t="s">
        <v>272</v>
      </c>
      <c r="C197" s="18" t="s">
        <v>300</v>
      </c>
      <c r="D197" s="23">
        <v>0</v>
      </c>
      <c r="E197" s="24">
        <v>0</v>
      </c>
      <c r="F197" s="25">
        <v>0</v>
      </c>
      <c r="G197" s="26">
        <v>0</v>
      </c>
      <c r="H197" s="26">
        <v>0</v>
      </c>
      <c r="I197" s="22">
        <v>0</v>
      </c>
      <c r="J197" s="22">
        <v>0</v>
      </c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customHeight="1" ht="15.75">
      <c r="A198"/>
      <c r="B198" s="17" t="s">
        <v>274</v>
      </c>
      <c r="C198" s="18" t="s">
        <v>301</v>
      </c>
      <c r="D198" s="27"/>
      <c r="E198" s="28">
        <v>0</v>
      </c>
      <c r="F198" s="29">
        <v>0</v>
      </c>
      <c r="G198" s="30">
        <v>0</v>
      </c>
      <c r="H198" s="30">
        <f>IF(F198+G198&lt;0, F198+G198, F198+G198)</f>
        <v>0</v>
      </c>
      <c r="I198" s="30">
        <v>0</v>
      </c>
      <c r="J198" s="31">
        <v>0</v>
      </c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customHeight="1" ht="15.75">
      <c r="A199"/>
      <c r="B199" s="32">
        <v>1010302005</v>
      </c>
      <c r="C199" s="5" t="s">
        <v>302</v>
      </c>
      <c r="D199" s="38">
        <f>SUM(E200:E204)</f>
        <v>0</v>
      </c>
      <c r="E199" s="39"/>
      <c r="F199" s="38"/>
      <c r="G199" s="40"/>
      <c r="H199" s="39"/>
      <c r="I199" s="38">
        <v>0</v>
      </c>
      <c r="J199" s="3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customHeight="1" ht="15">
      <c r="A200"/>
      <c r="B200" s="17" t="s">
        <v>139</v>
      </c>
      <c r="C200" s="18" t="s">
        <v>303</v>
      </c>
      <c r="D200" s="23"/>
      <c r="E200" s="24">
        <v>0</v>
      </c>
      <c r="F200" s="33">
        <v>0</v>
      </c>
      <c r="G200" s="22">
        <v>0</v>
      </c>
      <c r="H200" s="22">
        <f>IF(F200+G200&lt;0, F200+G200, F200+G200)</f>
        <v>0</v>
      </c>
      <c r="I200" s="22">
        <v>0</v>
      </c>
      <c r="J200" s="22">
        <v>0</v>
      </c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customHeight="1" ht="15">
      <c r="A201"/>
      <c r="B201" s="17" t="s">
        <v>304</v>
      </c>
      <c r="C201" s="18" t="s">
        <v>305</v>
      </c>
      <c r="D201" s="23"/>
      <c r="E201" s="24">
        <v>0</v>
      </c>
      <c r="F201" s="25">
        <v>0</v>
      </c>
      <c r="G201" s="26">
        <v>-306</v>
      </c>
      <c r="H201" s="26">
        <f>IF(F201+G201&lt;0, F201+G201, F201+G201)</f>
        <v>-306</v>
      </c>
      <c r="I201" s="22">
        <v>-306</v>
      </c>
      <c r="J201" s="22">
        <v>0</v>
      </c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customHeight="1" ht="15">
      <c r="A202"/>
      <c r="B202" s="17" t="s">
        <v>306</v>
      </c>
      <c r="C202" s="18" t="s">
        <v>307</v>
      </c>
      <c r="D202" s="23">
        <v>0</v>
      </c>
      <c r="E202" s="24">
        <v>0</v>
      </c>
      <c r="F202" s="25">
        <v>0</v>
      </c>
      <c r="G202" s="26">
        <v>0</v>
      </c>
      <c r="H202" s="26">
        <v>0</v>
      </c>
      <c r="I202" s="22">
        <v>0</v>
      </c>
      <c r="J202" s="22">
        <v>0</v>
      </c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customHeight="1" ht="15">
      <c r="A203"/>
      <c r="B203" s="17" t="s">
        <v>308</v>
      </c>
      <c r="C203" s="18" t="s">
        <v>309</v>
      </c>
      <c r="D203" s="23">
        <v>0</v>
      </c>
      <c r="E203" s="24">
        <v>0</v>
      </c>
      <c r="F203" s="25">
        <v>0</v>
      </c>
      <c r="G203" s="26">
        <v>0</v>
      </c>
      <c r="H203" s="26">
        <v>0</v>
      </c>
      <c r="I203" s="22">
        <v>0</v>
      </c>
      <c r="J203" s="22">
        <v>0</v>
      </c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customHeight="1" ht="15.75">
      <c r="A204"/>
      <c r="B204" s="17" t="s">
        <v>310</v>
      </c>
      <c r="C204" s="18" t="s">
        <v>311</v>
      </c>
      <c r="D204" s="27">
        <v>0</v>
      </c>
      <c r="E204" s="28">
        <v>0</v>
      </c>
      <c r="F204" s="29">
        <v>0</v>
      </c>
      <c r="G204" s="30">
        <v>0</v>
      </c>
      <c r="H204" s="26">
        <v>0</v>
      </c>
      <c r="I204" s="31">
        <v>0</v>
      </c>
      <c r="J204" s="31">
        <v>0</v>
      </c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customHeight="1" ht="15.75">
      <c r="A205"/>
      <c r="B205" s="32"/>
      <c r="C205" s="5" t="s">
        <v>312</v>
      </c>
      <c r="D205" s="38">
        <f>SUM(E206:E214)</f>
        <v>0</v>
      </c>
      <c r="E205" s="39"/>
      <c r="F205" s="38"/>
      <c r="G205" s="39"/>
      <c r="H205" s="35"/>
      <c r="I205" s="38">
        <v>0</v>
      </c>
      <c r="J205" s="39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customHeight="1" ht="15">
      <c r="A206"/>
      <c r="B206" s="17" t="s">
        <v>200</v>
      </c>
      <c r="C206" s="18" t="s">
        <v>313</v>
      </c>
      <c r="D206" s="23">
        <v>0</v>
      </c>
      <c r="E206" s="24">
        <v>0</v>
      </c>
      <c r="F206" s="33">
        <v>0</v>
      </c>
      <c r="G206" s="22">
        <v>0</v>
      </c>
      <c r="H206" s="26">
        <v>0</v>
      </c>
      <c r="I206" s="22">
        <v>0</v>
      </c>
      <c r="J206" s="22">
        <v>0</v>
      </c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customHeight="1" ht="15">
      <c r="A207"/>
      <c r="B207" s="17" t="s">
        <v>202</v>
      </c>
      <c r="C207" s="18" t="s">
        <v>314</v>
      </c>
      <c r="D207" s="23">
        <v>0</v>
      </c>
      <c r="E207" s="24">
        <v>0</v>
      </c>
      <c r="F207" s="25">
        <v>0</v>
      </c>
      <c r="G207" s="26">
        <v>0</v>
      </c>
      <c r="H207" s="26">
        <v>0</v>
      </c>
      <c r="I207" s="22">
        <v>0</v>
      </c>
      <c r="J207" s="22">
        <v>0</v>
      </c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customHeight="1" ht="15">
      <c r="A208"/>
      <c r="B208" s="17" t="s">
        <v>315</v>
      </c>
      <c r="C208" s="18" t="s">
        <v>316</v>
      </c>
      <c r="D208" s="23">
        <v>0</v>
      </c>
      <c r="E208" s="24">
        <v>0</v>
      </c>
      <c r="F208" s="25">
        <v>0</v>
      </c>
      <c r="G208" s="26">
        <v>0</v>
      </c>
      <c r="H208" s="26">
        <v>0</v>
      </c>
      <c r="I208" s="22">
        <v>0</v>
      </c>
      <c r="J208" s="22">
        <v>0</v>
      </c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customHeight="1" ht="15">
      <c r="A209"/>
      <c r="B209" s="17" t="s">
        <v>317</v>
      </c>
      <c r="C209" s="18" t="s">
        <v>318</v>
      </c>
      <c r="D209" s="23">
        <v>0</v>
      </c>
      <c r="E209" s="24">
        <v>0</v>
      </c>
      <c r="F209" s="25">
        <v>0</v>
      </c>
      <c r="G209" s="26">
        <v>0</v>
      </c>
      <c r="H209" s="26">
        <v>0</v>
      </c>
      <c r="I209" s="22">
        <v>0</v>
      </c>
      <c r="J209" s="22">
        <v>0</v>
      </c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customHeight="1" ht="15">
      <c r="A210"/>
      <c r="B210" s="17" t="s">
        <v>319</v>
      </c>
      <c r="C210" s="18" t="s">
        <v>320</v>
      </c>
      <c r="D210" s="23">
        <v>0</v>
      </c>
      <c r="E210" s="24">
        <v>0</v>
      </c>
      <c r="F210" s="25">
        <v>0</v>
      </c>
      <c r="G210" s="26">
        <v>0</v>
      </c>
      <c r="H210" s="26">
        <v>0</v>
      </c>
      <c r="I210" s="22">
        <v>0</v>
      </c>
      <c r="J210" s="22">
        <v>0</v>
      </c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customHeight="1" ht="15">
      <c r="A211"/>
      <c r="B211" s="17" t="s">
        <v>321</v>
      </c>
      <c r="C211" s="18" t="s">
        <v>322</v>
      </c>
      <c r="D211" s="23">
        <v>0</v>
      </c>
      <c r="E211" s="24">
        <v>0</v>
      </c>
      <c r="F211" s="25">
        <v>0</v>
      </c>
      <c r="G211" s="26">
        <v>0</v>
      </c>
      <c r="H211" s="26">
        <v>0</v>
      </c>
      <c r="I211" s="22">
        <v>0</v>
      </c>
      <c r="J211" s="22">
        <v>0</v>
      </c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customHeight="1" ht="15">
      <c r="A212"/>
      <c r="B212" s="17" t="s">
        <v>323</v>
      </c>
      <c r="C212" s="18" t="s">
        <v>324</v>
      </c>
      <c r="D212" s="23">
        <v>0</v>
      </c>
      <c r="E212" s="24">
        <v>0</v>
      </c>
      <c r="F212" s="25">
        <v>0</v>
      </c>
      <c r="G212" s="26">
        <v>0</v>
      </c>
      <c r="H212" s="26">
        <v>0</v>
      </c>
      <c r="I212" s="22">
        <v>0</v>
      </c>
      <c r="J212" s="22">
        <v>0</v>
      </c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customHeight="1" ht="15">
      <c r="A213"/>
      <c r="B213" s="17" t="s">
        <v>325</v>
      </c>
      <c r="C213" s="18" t="s">
        <v>326</v>
      </c>
      <c r="D213" s="23">
        <v>0</v>
      </c>
      <c r="E213" s="24">
        <v>0</v>
      </c>
      <c r="F213" s="25">
        <v>0</v>
      </c>
      <c r="G213" s="26">
        <v>0</v>
      </c>
      <c r="H213" s="26">
        <v>0</v>
      </c>
      <c r="I213" s="22">
        <v>0</v>
      </c>
      <c r="J213" s="22">
        <v>0</v>
      </c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customHeight="1" ht="15.75">
      <c r="A214"/>
      <c r="B214" s="17" t="s">
        <v>327</v>
      </c>
      <c r="C214" s="18" t="s">
        <v>328</v>
      </c>
      <c r="D214" s="27">
        <v>0</v>
      </c>
      <c r="E214" s="28">
        <v>0</v>
      </c>
      <c r="F214" s="29">
        <v>0</v>
      </c>
      <c r="G214" s="30">
        <v>0</v>
      </c>
      <c r="H214" s="30">
        <v>0</v>
      </c>
      <c r="I214" s="31">
        <v>0</v>
      </c>
      <c r="J214" s="31">
        <v>0</v>
      </c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customHeight="1" ht="15.75">
      <c r="A215"/>
      <c r="B215" s="32">
        <v>1010304004</v>
      </c>
      <c r="C215" s="5" t="s">
        <v>329</v>
      </c>
      <c r="D215" s="38">
        <f>SUM(E216:E249)</f>
        <v>0</v>
      </c>
      <c r="E215" s="39"/>
      <c r="F215" s="38"/>
      <c r="G215" s="40"/>
      <c r="H215" s="39"/>
      <c r="I215" s="38">
        <v>0</v>
      </c>
      <c r="J215" s="39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customHeight="1" ht="15">
      <c r="A216"/>
      <c r="B216" s="17" t="s">
        <v>330</v>
      </c>
      <c r="C216" s="18" t="s">
        <v>331</v>
      </c>
      <c r="D216" s="23">
        <v>0</v>
      </c>
      <c r="E216" s="24">
        <v>0</v>
      </c>
      <c r="F216" s="33">
        <v>0</v>
      </c>
      <c r="G216" s="22">
        <v>0</v>
      </c>
      <c r="H216" s="22">
        <v>0</v>
      </c>
      <c r="I216" s="22">
        <v>0</v>
      </c>
      <c r="J216" s="22">
        <v>0</v>
      </c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customHeight="1" ht="15">
      <c r="A217"/>
      <c r="B217" s="17" t="s">
        <v>232</v>
      </c>
      <c r="C217" s="18" t="s">
        <v>332</v>
      </c>
      <c r="D217" s="23"/>
      <c r="E217" s="24">
        <v>0</v>
      </c>
      <c r="F217" s="25">
        <v>0</v>
      </c>
      <c r="G217" s="26">
        <v>0</v>
      </c>
      <c r="H217" s="26">
        <f>IF(F217+G217&lt;0, F217+G217, F217+G217)</f>
        <v>0</v>
      </c>
      <c r="I217" s="22">
        <v>0</v>
      </c>
      <c r="J217" s="22">
        <v>0</v>
      </c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customHeight="1" ht="15">
      <c r="A218"/>
      <c r="B218" s="17" t="s">
        <v>333</v>
      </c>
      <c r="C218" s="18" t="s">
        <v>334</v>
      </c>
      <c r="D218" s="23">
        <v>0</v>
      </c>
      <c r="E218" s="24">
        <v>0</v>
      </c>
      <c r="F218" s="25">
        <v>0</v>
      </c>
      <c r="G218" s="26">
        <v>0</v>
      </c>
      <c r="H218" s="26">
        <v>0</v>
      </c>
      <c r="I218" s="22">
        <v>0</v>
      </c>
      <c r="J218" s="22">
        <v>0</v>
      </c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customHeight="1" ht="15">
      <c r="A219"/>
      <c r="B219" s="17" t="s">
        <v>335</v>
      </c>
      <c r="C219" s="18" t="s">
        <v>336</v>
      </c>
      <c r="D219" s="23"/>
      <c r="E219" s="24">
        <v>0</v>
      </c>
      <c r="F219" s="25">
        <v>0</v>
      </c>
      <c r="G219" s="26">
        <v>0</v>
      </c>
      <c r="H219" s="26">
        <f>IF(F219+G219&lt;0, F219+G219, F219+G219)</f>
        <v>0</v>
      </c>
      <c r="I219" s="22">
        <v>0</v>
      </c>
      <c r="J219" s="22">
        <v>0</v>
      </c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customHeight="1" ht="15">
      <c r="A220"/>
      <c r="B220" s="17" t="s">
        <v>337</v>
      </c>
      <c r="C220" s="18" t="s">
        <v>338</v>
      </c>
      <c r="D220" s="23">
        <v>0</v>
      </c>
      <c r="E220" s="24">
        <v>0</v>
      </c>
      <c r="F220" s="25">
        <v>0</v>
      </c>
      <c r="G220" s="26">
        <v>0</v>
      </c>
      <c r="H220" s="26">
        <v>0</v>
      </c>
      <c r="I220" s="22">
        <v>0</v>
      </c>
      <c r="J220" s="22">
        <v>0</v>
      </c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customHeight="1" ht="15">
      <c r="A221"/>
      <c r="B221" s="17" t="s">
        <v>339</v>
      </c>
      <c r="C221" s="18" t="s">
        <v>340</v>
      </c>
      <c r="D221" s="23"/>
      <c r="E221" s="24">
        <v>0</v>
      </c>
      <c r="F221" s="25">
        <v>0</v>
      </c>
      <c r="G221" s="26">
        <v>0</v>
      </c>
      <c r="H221" s="26">
        <f>IF(F221+G221&lt;0, F221+G221, F221+G221)</f>
        <v>0</v>
      </c>
      <c r="I221" s="26">
        <v>0</v>
      </c>
      <c r="J221" s="22">
        <v>0</v>
      </c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customHeight="1" ht="15">
      <c r="A222"/>
      <c r="B222" s="17" t="s">
        <v>341</v>
      </c>
      <c r="C222" s="18" t="s">
        <v>342</v>
      </c>
      <c r="D222" s="23"/>
      <c r="E222" s="24">
        <v>0</v>
      </c>
      <c r="F222" s="25">
        <v>0</v>
      </c>
      <c r="G222" s="26">
        <v>0</v>
      </c>
      <c r="H222" s="26">
        <f>IF(F222+G222&lt;0, F222+G222, F222+G222)</f>
        <v>0</v>
      </c>
      <c r="I222" s="22">
        <v>0</v>
      </c>
      <c r="J222" s="22">
        <v>0</v>
      </c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customHeight="1" ht="15">
      <c r="A223"/>
      <c r="B223" s="17" t="s">
        <v>343</v>
      </c>
      <c r="C223" s="18" t="s">
        <v>344</v>
      </c>
      <c r="D223" s="23">
        <v>0</v>
      </c>
      <c r="E223" s="24">
        <v>0</v>
      </c>
      <c r="F223" s="25">
        <v>0</v>
      </c>
      <c r="G223" s="26">
        <v>0</v>
      </c>
      <c r="H223" s="26">
        <v>0</v>
      </c>
      <c r="I223" s="26">
        <v>0</v>
      </c>
      <c r="J223" s="22">
        <v>0</v>
      </c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customHeight="1" ht="15">
      <c r="A224"/>
      <c r="B224" s="17" t="s">
        <v>345</v>
      </c>
      <c r="C224" s="18" t="s">
        <v>346</v>
      </c>
      <c r="D224" s="23"/>
      <c r="E224" s="24">
        <v>0</v>
      </c>
      <c r="F224" s="25">
        <v>0</v>
      </c>
      <c r="G224" s="26">
        <v>0</v>
      </c>
      <c r="H224" s="26">
        <f>IF(F224+G224&lt;0, F224+G224, F224+G224)</f>
        <v>0</v>
      </c>
      <c r="I224" s="22">
        <v>0</v>
      </c>
      <c r="J224" s="22">
        <v>0</v>
      </c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customHeight="1" ht="15">
      <c r="A225"/>
      <c r="B225" s="17" t="s">
        <v>347</v>
      </c>
      <c r="C225" s="18" t="s">
        <v>348</v>
      </c>
      <c r="D225" s="23"/>
      <c r="E225" s="24">
        <v>0</v>
      </c>
      <c r="F225" s="25">
        <v>0</v>
      </c>
      <c r="G225" s="26">
        <v>0</v>
      </c>
      <c r="H225" s="26">
        <f>IF(F225+G225&lt;0, F225+G225, F225+G225)</f>
        <v>0</v>
      </c>
      <c r="I225" s="26">
        <v>0</v>
      </c>
      <c r="J225" s="22">
        <v>0</v>
      </c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customHeight="1" ht="15">
      <c r="A226"/>
      <c r="B226" s="17" t="s">
        <v>349</v>
      </c>
      <c r="C226" s="18" t="s">
        <v>350</v>
      </c>
      <c r="D226" s="23"/>
      <c r="E226" s="24">
        <v>0</v>
      </c>
      <c r="F226" s="25">
        <v>0</v>
      </c>
      <c r="G226" s="26">
        <v>0</v>
      </c>
      <c r="H226" s="26">
        <f>IF(F226+G226&lt;0, F226+G226, F226+G226)</f>
        <v>0</v>
      </c>
      <c r="I226" s="22">
        <v>0</v>
      </c>
      <c r="J226" s="22">
        <v>0</v>
      </c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customHeight="1" ht="15">
      <c r="A227"/>
      <c r="B227" s="17" t="s">
        <v>351</v>
      </c>
      <c r="C227" s="18" t="s">
        <v>352</v>
      </c>
      <c r="D227" s="23">
        <v>0</v>
      </c>
      <c r="E227" s="24">
        <v>0</v>
      </c>
      <c r="F227" s="25">
        <v>0</v>
      </c>
      <c r="G227" s="26">
        <v>0</v>
      </c>
      <c r="H227" s="26">
        <v>0</v>
      </c>
      <c r="I227" s="26">
        <v>0</v>
      </c>
      <c r="J227" s="22">
        <v>0</v>
      </c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customHeight="1" ht="15">
      <c r="A228"/>
      <c r="B228" s="17" t="s">
        <v>353</v>
      </c>
      <c r="C228" s="18" t="s">
        <v>354</v>
      </c>
      <c r="D228" s="23">
        <v>0</v>
      </c>
      <c r="E228" s="24">
        <v>0</v>
      </c>
      <c r="F228" s="25">
        <v>0</v>
      </c>
      <c r="G228" s="26">
        <v>0</v>
      </c>
      <c r="H228" s="26">
        <v>0</v>
      </c>
      <c r="I228" s="22">
        <v>0</v>
      </c>
      <c r="J228" s="22">
        <v>0</v>
      </c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customHeight="1" ht="15">
      <c r="A229"/>
      <c r="B229" s="17" t="s">
        <v>355</v>
      </c>
      <c r="C229" s="18" t="s">
        <v>356</v>
      </c>
      <c r="D229" s="23"/>
      <c r="E229" s="24">
        <v>0</v>
      </c>
      <c r="F229" s="25">
        <v>3</v>
      </c>
      <c r="G229" s="26">
        <v>0</v>
      </c>
      <c r="H229" s="26">
        <f>IF(F229+G229&lt;0, F229+G229, F229+G229)</f>
        <v>3</v>
      </c>
      <c r="I229" s="26">
        <v>3</v>
      </c>
      <c r="J229" s="22">
        <v>0</v>
      </c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customHeight="1" ht="15">
      <c r="A230"/>
      <c r="B230" s="17" t="s">
        <v>357</v>
      </c>
      <c r="C230" s="18" t="s">
        <v>358</v>
      </c>
      <c r="D230" s="23"/>
      <c r="E230" s="24">
        <v>0</v>
      </c>
      <c r="F230" s="25">
        <v>5</v>
      </c>
      <c r="G230" s="26">
        <v>0</v>
      </c>
      <c r="H230" s="26">
        <f>IF(F230+G230&lt;0, F230+G230, F230+G230)</f>
        <v>5</v>
      </c>
      <c r="I230" s="22">
        <v>5</v>
      </c>
      <c r="J230" s="22">
        <v>0</v>
      </c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customHeight="1" ht="15">
      <c r="A231"/>
      <c r="B231" s="17" t="s">
        <v>359</v>
      </c>
      <c r="C231" s="18" t="s">
        <v>360</v>
      </c>
      <c r="D231" s="23"/>
      <c r="E231" s="24">
        <v>0</v>
      </c>
      <c r="F231" s="25">
        <v>5</v>
      </c>
      <c r="G231" s="26">
        <v>0</v>
      </c>
      <c r="H231" s="26">
        <f>IF(F231+G231&lt;0, F231+G231, F231+G231)</f>
        <v>5</v>
      </c>
      <c r="I231" s="26">
        <v>5</v>
      </c>
      <c r="J231" s="22">
        <v>0</v>
      </c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customHeight="1" ht="15">
      <c r="A232"/>
      <c r="B232" s="17" t="s">
        <v>361</v>
      </c>
      <c r="C232" s="18" t="s">
        <v>362</v>
      </c>
      <c r="D232" s="23"/>
      <c r="E232" s="24">
        <v>0</v>
      </c>
      <c r="F232" s="25">
        <v>11</v>
      </c>
      <c r="G232" s="26">
        <v>0</v>
      </c>
      <c r="H232" s="26">
        <f>IF(F232+G232&lt;0, F232+G232, F232+G232)</f>
        <v>11</v>
      </c>
      <c r="I232" s="22">
        <v>11</v>
      </c>
      <c r="J232" s="22">
        <v>0</v>
      </c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customHeight="1" ht="15">
      <c r="A233"/>
      <c r="B233" s="17" t="s">
        <v>363</v>
      </c>
      <c r="C233" s="18" t="s">
        <v>364</v>
      </c>
      <c r="D233" s="23">
        <v>0</v>
      </c>
      <c r="E233" s="24">
        <v>0</v>
      </c>
      <c r="F233" s="25">
        <v>0</v>
      </c>
      <c r="G233" s="26">
        <v>0</v>
      </c>
      <c r="H233" s="26">
        <v>0</v>
      </c>
      <c r="I233" s="26">
        <v>0</v>
      </c>
      <c r="J233" s="22">
        <v>0</v>
      </c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customHeight="1" ht="15">
      <c r="A234"/>
      <c r="B234" s="17" t="s">
        <v>365</v>
      </c>
      <c r="C234" s="18" t="s">
        <v>366</v>
      </c>
      <c r="D234" s="23"/>
      <c r="E234" s="24">
        <v>0</v>
      </c>
      <c r="F234" s="25">
        <v>0</v>
      </c>
      <c r="G234" s="26">
        <v>0</v>
      </c>
      <c r="H234" s="26">
        <f>IF(F234+G234&lt;0, F234+G234, F234+G234)</f>
        <v>0</v>
      </c>
      <c r="I234" s="22">
        <v>0</v>
      </c>
      <c r="J234" s="22">
        <v>0</v>
      </c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customHeight="1" ht="15">
      <c r="A235"/>
      <c r="B235" s="17" t="s">
        <v>367</v>
      </c>
      <c r="C235" s="18" t="s">
        <v>368</v>
      </c>
      <c r="D235" s="23"/>
      <c r="E235" s="24">
        <v>0</v>
      </c>
      <c r="F235" s="25">
        <v>0</v>
      </c>
      <c r="G235" s="26">
        <v>0</v>
      </c>
      <c r="H235" s="26">
        <f>IF(F235+G235&lt;0, F235+G235, F235+G235)</f>
        <v>0</v>
      </c>
      <c r="I235" s="22">
        <v>0</v>
      </c>
      <c r="J235" s="22">
        <v>0</v>
      </c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customHeight="1" ht="15">
      <c r="A236"/>
      <c r="B236" s="17" t="s">
        <v>30</v>
      </c>
      <c r="C236" s="18" t="s">
        <v>369</v>
      </c>
      <c r="D236" s="23"/>
      <c r="E236" s="24">
        <v>0</v>
      </c>
      <c r="F236" s="25">
        <v>0</v>
      </c>
      <c r="G236" s="26">
        <v>0</v>
      </c>
      <c r="H236" s="26">
        <f>IF(F236+G236&lt;0, F236+G236, F236+G236)</f>
        <v>0</v>
      </c>
      <c r="I236" s="26">
        <v>0</v>
      </c>
      <c r="J236" s="22">
        <v>0</v>
      </c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customHeight="1" ht="15">
      <c r="A237"/>
      <c r="B237" s="71" t="s">
        <v>317</v>
      </c>
      <c r="C237" s="72" t="s">
        <v>370</v>
      </c>
      <c r="D237" s="73">
        <v>15</v>
      </c>
      <c r="E237" s="74"/>
      <c r="F237" s="75">
        <v>0</v>
      </c>
      <c r="G237" s="76">
        <v>-3</v>
      </c>
      <c r="H237" s="76">
        <f>F237+G237</f>
        <v>-3</v>
      </c>
      <c r="I237" s="77">
        <v>12</v>
      </c>
      <c r="J237" s="22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customHeight="1" ht="15">
      <c r="A238"/>
      <c r="B238" s="17" t="s">
        <v>123</v>
      </c>
      <c r="C238" s="18" t="s">
        <v>371</v>
      </c>
      <c r="D238" s="23"/>
      <c r="E238" s="24">
        <v>0</v>
      </c>
      <c r="F238" s="25">
        <v>0</v>
      </c>
      <c r="G238" s="26">
        <v>0</v>
      </c>
      <c r="H238" s="26">
        <f>IF(F238+G238&lt;0, F238+G238, F238+G238)</f>
        <v>0</v>
      </c>
      <c r="I238" s="22">
        <v>0</v>
      </c>
      <c r="J238" s="22">
        <v>0</v>
      </c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customHeight="1" ht="15">
      <c r="A239"/>
      <c r="B239" s="17" t="s">
        <v>125</v>
      </c>
      <c r="C239" s="18" t="s">
        <v>372</v>
      </c>
      <c r="D239" s="23"/>
      <c r="E239" s="24">
        <v>0</v>
      </c>
      <c r="F239" s="25">
        <v>0</v>
      </c>
      <c r="G239" s="26">
        <v>0</v>
      </c>
      <c r="H239" s="26">
        <f>IF(F239+G239&lt;0, F239+G239, F239+G239)</f>
        <v>0</v>
      </c>
      <c r="I239" s="26">
        <v>0</v>
      </c>
      <c r="J239" s="22">
        <v>0</v>
      </c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customHeight="1" ht="15">
      <c r="A240"/>
      <c r="B240" s="17" t="s">
        <v>97</v>
      </c>
      <c r="C240" s="18" t="s">
        <v>373</v>
      </c>
      <c r="D240" s="23">
        <v>0</v>
      </c>
      <c r="E240" s="24">
        <v>0</v>
      </c>
      <c r="F240" s="25">
        <v>0</v>
      </c>
      <c r="G240" s="26">
        <v>0</v>
      </c>
      <c r="H240" s="26">
        <v>0</v>
      </c>
      <c r="I240" s="22">
        <v>0</v>
      </c>
      <c r="J240" s="22">
        <v>0</v>
      </c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customHeight="1" ht="15">
      <c r="A241"/>
      <c r="B241" s="17" t="s">
        <v>99</v>
      </c>
      <c r="C241" s="18" t="s">
        <v>374</v>
      </c>
      <c r="D241" s="23"/>
      <c r="E241" s="24">
        <v>0</v>
      </c>
      <c r="F241" s="25">
        <v>10</v>
      </c>
      <c r="G241" s="26">
        <v>-12</v>
      </c>
      <c r="H241" s="26">
        <f>IF(F241+G241&lt;0, F241+G241, F241+G241)</f>
        <v>-2</v>
      </c>
      <c r="I241" s="26">
        <v>-2</v>
      </c>
      <c r="J241" s="22">
        <v>0</v>
      </c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customHeight="1" ht="15">
      <c r="A242"/>
      <c r="B242" s="71" t="s">
        <v>315</v>
      </c>
      <c r="C242" s="72" t="s">
        <v>375</v>
      </c>
      <c r="D242" s="73"/>
      <c r="E242" s="74"/>
      <c r="F242" s="75">
        <v>7</v>
      </c>
      <c r="G242" s="76">
        <v>-1</v>
      </c>
      <c r="H242" s="76">
        <f>F242+G242</f>
        <v>6</v>
      </c>
      <c r="I242" s="77">
        <v>6</v>
      </c>
      <c r="J242" s="2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customHeight="1" ht="15">
      <c r="A243"/>
      <c r="B243" s="17" t="s">
        <v>101</v>
      </c>
      <c r="C243" s="18" t="s">
        <v>376</v>
      </c>
      <c r="D243" s="23"/>
      <c r="E243" s="24">
        <v>0</v>
      </c>
      <c r="F243" s="25">
        <v>0</v>
      </c>
      <c r="G243" s="26">
        <v>-1</v>
      </c>
      <c r="H243" s="26">
        <f>IF(F243+G243&lt;0, F243+G243, F243+G243)</f>
        <v>-1</v>
      </c>
      <c r="I243" s="22">
        <v>-1</v>
      </c>
      <c r="J243" s="22">
        <v>0</v>
      </c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customHeight="1" ht="15">
      <c r="A244"/>
      <c r="B244" s="17" t="s">
        <v>103</v>
      </c>
      <c r="C244" s="18" t="s">
        <v>377</v>
      </c>
      <c r="D244" s="23"/>
      <c r="E244" s="24">
        <v>0</v>
      </c>
      <c r="F244" s="25">
        <v>0</v>
      </c>
      <c r="G244" s="26">
        <v>0</v>
      </c>
      <c r="H244" s="26">
        <f>IF(F244+G244&lt;0, F244+G244, F244+G244)</f>
        <v>0</v>
      </c>
      <c r="I244" s="26">
        <v>0</v>
      </c>
      <c r="J244" s="22">
        <v>0</v>
      </c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customHeight="1" ht="15">
      <c r="A245"/>
      <c r="B245" s="17" t="s">
        <v>131</v>
      </c>
      <c r="C245" s="18" t="s">
        <v>378</v>
      </c>
      <c r="D245" s="23"/>
      <c r="E245" s="24">
        <v>0</v>
      </c>
      <c r="F245" s="25">
        <v>15</v>
      </c>
      <c r="G245" s="26">
        <v>-3</v>
      </c>
      <c r="H245" s="26">
        <f>IF(F245+G245&lt;0, F245+G245, F245+G245)</f>
        <v>12</v>
      </c>
      <c r="I245" s="22">
        <v>12</v>
      </c>
      <c r="J245" s="22">
        <v>0</v>
      </c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customHeight="1" ht="15">
      <c r="A246"/>
      <c r="B246" s="17" t="s">
        <v>32</v>
      </c>
      <c r="C246" s="18" t="s">
        <v>379</v>
      </c>
      <c r="D246" s="23"/>
      <c r="E246" s="24">
        <v>0</v>
      </c>
      <c r="F246" s="25">
        <v>15</v>
      </c>
      <c r="G246" s="26">
        <v>-2</v>
      </c>
      <c r="H246" s="26">
        <f>IF(F246+G246&lt;0, F246+G246, F246+G246)</f>
        <v>13</v>
      </c>
      <c r="I246" s="22">
        <v>13</v>
      </c>
      <c r="J246" s="22">
        <v>0</v>
      </c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customHeight="1" ht="15">
      <c r="A247"/>
      <c r="B247" s="17" t="s">
        <v>162</v>
      </c>
      <c r="C247" s="18" t="s">
        <v>380</v>
      </c>
      <c r="D247" s="23"/>
      <c r="E247" s="24">
        <v>0</v>
      </c>
      <c r="F247" s="25">
        <v>15</v>
      </c>
      <c r="G247" s="26">
        <v>-2</v>
      </c>
      <c r="H247" s="26">
        <f>IF(F247+G247&lt;0, F247+G247, F247+G247)</f>
        <v>13</v>
      </c>
      <c r="I247" s="26">
        <v>13</v>
      </c>
      <c r="J247" s="22">
        <v>0</v>
      </c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customHeight="1" ht="15">
      <c r="A248"/>
      <c r="B248" s="71" t="s">
        <v>202</v>
      </c>
      <c r="C248" s="72" t="s">
        <v>381</v>
      </c>
      <c r="D248" s="73"/>
      <c r="E248" s="74"/>
      <c r="F248" s="75">
        <v>0</v>
      </c>
      <c r="G248" s="76">
        <v>0</v>
      </c>
      <c r="H248" s="76">
        <f>F248+G248</f>
        <v>0</v>
      </c>
      <c r="I248" s="77">
        <v>0</v>
      </c>
      <c r="J248" s="22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customHeight="1" ht="15.75">
      <c r="A249"/>
      <c r="B249" s="17" t="s">
        <v>34</v>
      </c>
      <c r="C249" s="18" t="s">
        <v>382</v>
      </c>
      <c r="D249" s="27"/>
      <c r="E249" s="28">
        <v>0</v>
      </c>
      <c r="F249" s="29">
        <v>15</v>
      </c>
      <c r="G249" s="30">
        <v>-2</v>
      </c>
      <c r="H249" s="30">
        <f>IF(F249+G249&lt;0, F249+G249, F249+G249)</f>
        <v>13</v>
      </c>
      <c r="I249" s="31">
        <v>13</v>
      </c>
      <c r="J249" s="31">
        <v>0</v>
      </c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customHeight="1" ht="15.75">
      <c r="A250"/>
      <c r="B250" s="71" t="s">
        <v>383</v>
      </c>
      <c r="C250" s="72" t="s">
        <v>384</v>
      </c>
      <c r="D250" s="73"/>
      <c r="E250" s="74"/>
      <c r="F250" s="75">
        <v>0</v>
      </c>
      <c r="G250" s="76">
        <v>0</v>
      </c>
      <c r="H250" s="76">
        <f>F250+G250</f>
        <v>0</v>
      </c>
      <c r="I250" s="77">
        <v>0</v>
      </c>
      <c r="J250" s="31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customHeight="1" ht="15.75">
      <c r="A251"/>
      <c r="B251" s="71" t="s">
        <v>385</v>
      </c>
      <c r="C251" s="72" t="s">
        <v>386</v>
      </c>
      <c r="D251" s="73"/>
      <c r="E251" s="74"/>
      <c r="F251" s="75">
        <v>0</v>
      </c>
      <c r="G251" s="76">
        <v>0</v>
      </c>
      <c r="H251" s="76">
        <f>F251+G251</f>
        <v>0</v>
      </c>
      <c r="I251" s="77">
        <v>0</v>
      </c>
      <c r="J251" s="3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customHeight="1" ht="15.75">
      <c r="A252"/>
      <c r="B252" s="71" t="s">
        <v>387</v>
      </c>
      <c r="C252" s="72" t="s">
        <v>388</v>
      </c>
      <c r="D252" s="73"/>
      <c r="E252" s="74"/>
      <c r="F252" s="75">
        <v>0</v>
      </c>
      <c r="G252" s="76">
        <v>0</v>
      </c>
      <c r="H252" s="76">
        <f>F252+G252</f>
        <v>0</v>
      </c>
      <c r="I252" s="77">
        <v>0</v>
      </c>
      <c r="J252" s="31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customHeight="1" ht="15.75">
      <c r="A253"/>
      <c r="B253" s="32">
        <v>1010304006</v>
      </c>
      <c r="C253" s="5" t="s">
        <v>389</v>
      </c>
      <c r="D253" s="38">
        <f>SUM(E254:E259)</f>
        <v>0</v>
      </c>
      <c r="E253" s="39"/>
      <c r="F253" s="38"/>
      <c r="G253" s="40"/>
      <c r="H253" s="39"/>
      <c r="I253" s="38">
        <v>0</v>
      </c>
      <c r="J253" s="39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customHeight="1" ht="15">
      <c r="A254"/>
      <c r="B254" s="17" t="s">
        <v>30</v>
      </c>
      <c r="C254" s="18" t="s">
        <v>390</v>
      </c>
      <c r="D254" s="23"/>
      <c r="E254" s="24">
        <v>0</v>
      </c>
      <c r="F254" s="33">
        <v>0</v>
      </c>
      <c r="G254" s="22">
        <v>-1</v>
      </c>
      <c r="H254" s="22">
        <f>IF(F254+G254&lt;0, F254+G254, F254+G254)</f>
        <v>-1</v>
      </c>
      <c r="I254" s="22">
        <v>-1</v>
      </c>
      <c r="J254" s="22">
        <v>0</v>
      </c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customHeight="1" ht="15">
      <c r="A255"/>
      <c r="B255" s="71" t="s">
        <v>391</v>
      </c>
      <c r="C255" s="72" t="s">
        <v>392</v>
      </c>
      <c r="D255" s="73">
        <v>21</v>
      </c>
      <c r="E255" s="74"/>
      <c r="F255" s="75">
        <v>0</v>
      </c>
      <c r="G255" s="76">
        <v>-2</v>
      </c>
      <c r="H255" s="76">
        <f>F255+G255</f>
        <v>-2</v>
      </c>
      <c r="I255" s="77">
        <v>19</v>
      </c>
      <c r="J255" s="22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customHeight="1" ht="15">
      <c r="A256"/>
      <c r="B256" s="17" t="s">
        <v>125</v>
      </c>
      <c r="C256" s="18" t="s">
        <v>393</v>
      </c>
      <c r="D256" s="23">
        <v>0</v>
      </c>
      <c r="E256" s="24">
        <v>0</v>
      </c>
      <c r="F256" s="25">
        <v>0</v>
      </c>
      <c r="G256" s="26">
        <v>0</v>
      </c>
      <c r="H256" s="26">
        <v>0</v>
      </c>
      <c r="I256" s="22">
        <v>0</v>
      </c>
      <c r="J256" s="22">
        <v>0</v>
      </c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customHeight="1" ht="15">
      <c r="A257"/>
      <c r="B257" s="71" t="s">
        <v>121</v>
      </c>
      <c r="C257" s="72" t="s">
        <v>394</v>
      </c>
      <c r="D257" s="73">
        <v>16</v>
      </c>
      <c r="E257" s="74"/>
      <c r="F257" s="75">
        <v>0</v>
      </c>
      <c r="G257" s="76">
        <v>-1</v>
      </c>
      <c r="H257" s="76">
        <f>F257+G257</f>
        <v>-1</v>
      </c>
      <c r="I257" s="77">
        <v>15</v>
      </c>
      <c r="J257" s="22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customHeight="1" ht="15">
      <c r="A258"/>
      <c r="B258" s="17" t="s">
        <v>97</v>
      </c>
      <c r="C258" s="18" t="s">
        <v>395</v>
      </c>
      <c r="D258" s="23">
        <v>0</v>
      </c>
      <c r="E258" s="24">
        <v>0</v>
      </c>
      <c r="F258" s="25">
        <v>0</v>
      </c>
      <c r="G258" s="26">
        <v>0</v>
      </c>
      <c r="H258" s="26">
        <v>0</v>
      </c>
      <c r="I258" s="22">
        <v>0</v>
      </c>
      <c r="J258" s="22">
        <v>0</v>
      </c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customHeight="1" ht="15.75">
      <c r="A259"/>
      <c r="B259" s="17" t="s">
        <v>99</v>
      </c>
      <c r="C259" s="18" t="s">
        <v>396</v>
      </c>
      <c r="D259" s="23">
        <v>0</v>
      </c>
      <c r="E259" s="24">
        <v>0</v>
      </c>
      <c r="F259" s="29">
        <v>0</v>
      </c>
      <c r="G259" s="30">
        <v>0</v>
      </c>
      <c r="H259" s="30">
        <v>0</v>
      </c>
      <c r="I259" s="31">
        <v>0</v>
      </c>
      <c r="J259" s="31">
        <v>0</v>
      </c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customHeight="1" ht="15.75">
      <c r="A260"/>
      <c r="B260" s="71" t="s">
        <v>397</v>
      </c>
      <c r="C260" s="72" t="s">
        <v>398</v>
      </c>
      <c r="D260" s="73"/>
      <c r="E260" s="74"/>
      <c r="F260" s="75">
        <v>0</v>
      </c>
      <c r="G260" s="76">
        <v>0</v>
      </c>
      <c r="H260" s="76">
        <f>F260+G260</f>
        <v>0</v>
      </c>
      <c r="I260" s="77">
        <v>0</v>
      </c>
      <c r="J260" s="31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customHeight="1" ht="15.75">
      <c r="A261"/>
      <c r="B261" s="71" t="s">
        <v>399</v>
      </c>
      <c r="C261" s="72" t="s">
        <v>400</v>
      </c>
      <c r="D261" s="73"/>
      <c r="E261" s="74"/>
      <c r="F261" s="75">
        <v>0</v>
      </c>
      <c r="G261" s="76">
        <v>0</v>
      </c>
      <c r="H261" s="76">
        <f>F261+G261</f>
        <v>0</v>
      </c>
      <c r="I261" s="77">
        <v>0</v>
      </c>
      <c r="J261" s="3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customHeight="1" ht="15.75">
      <c r="A262"/>
      <c r="B262" s="32">
        <v>1010304010</v>
      </c>
      <c r="C262" s="5" t="s">
        <v>401</v>
      </c>
      <c r="D262" s="41">
        <f>SUM(E263)</f>
        <v>0</v>
      </c>
      <c r="E262" s="42"/>
      <c r="F262" s="38"/>
      <c r="G262" s="40"/>
      <c r="H262" s="39"/>
      <c r="I262" s="38">
        <v>0</v>
      </c>
      <c r="J262" s="39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customHeight="1" ht="15.75">
      <c r="A263"/>
      <c r="B263" s="17" t="s">
        <v>200</v>
      </c>
      <c r="C263" s="18" t="s">
        <v>402</v>
      </c>
      <c r="D263" s="27"/>
      <c r="E263" s="28">
        <v>0</v>
      </c>
      <c r="F263" s="34">
        <v>0</v>
      </c>
      <c r="G263" s="31">
        <v>0</v>
      </c>
      <c r="H263" s="31">
        <f>IF(F263+G263&lt;0, F263+G263, F263+G263)</f>
        <v>0</v>
      </c>
      <c r="I263" s="31">
        <v>0</v>
      </c>
      <c r="J263" s="31">
        <v>0</v>
      </c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customHeight="1" ht="15.75">
      <c r="A264"/>
      <c r="B264" s="32">
        <v>1010304999</v>
      </c>
      <c r="C264" s="5" t="s">
        <v>403</v>
      </c>
      <c r="D264" s="38">
        <f>SUM(E265:E275)</f>
        <v>0</v>
      </c>
      <c r="E264" s="39"/>
      <c r="F264" s="38"/>
      <c r="G264" s="40"/>
      <c r="H264" s="39"/>
      <c r="I264" s="38">
        <f>SUM(J265:J275)</f>
        <v>0</v>
      </c>
      <c r="J264" s="39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customHeight="1" ht="15">
      <c r="A265"/>
      <c r="B265" s="17" t="s">
        <v>288</v>
      </c>
      <c r="C265" s="18" t="s">
        <v>404</v>
      </c>
      <c r="D265" s="23">
        <v>0</v>
      </c>
      <c r="E265" s="24">
        <v>0</v>
      </c>
      <c r="F265" s="33">
        <v>0</v>
      </c>
      <c r="G265" s="22">
        <v>0</v>
      </c>
      <c r="H265" s="22">
        <v>0</v>
      </c>
      <c r="I265" s="22">
        <v>0</v>
      </c>
      <c r="J265" s="22">
        <v>0</v>
      </c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customHeight="1" ht="15">
      <c r="A266"/>
      <c r="B266" s="17" t="s">
        <v>405</v>
      </c>
      <c r="C266" s="18" t="s">
        <v>406</v>
      </c>
      <c r="D266" s="23"/>
      <c r="E266" s="24">
        <v>0</v>
      </c>
      <c r="F266" s="25">
        <v>5</v>
      </c>
      <c r="G266" s="26">
        <v>0</v>
      </c>
      <c r="H266" s="26">
        <f>IF(F266+G266&lt;0, F266+G266, F266+G266)</f>
        <v>5</v>
      </c>
      <c r="I266" s="26">
        <v>5</v>
      </c>
      <c r="J266" s="22">
        <v>0</v>
      </c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customHeight="1" ht="15">
      <c r="A267"/>
      <c r="B267" s="71" t="s">
        <v>407</v>
      </c>
      <c r="C267" s="72" t="s">
        <v>408</v>
      </c>
      <c r="D267" s="73"/>
      <c r="E267" s="74"/>
      <c r="F267" s="75">
        <v>0</v>
      </c>
      <c r="G267" s="76">
        <v>0</v>
      </c>
      <c r="H267" s="76">
        <f>F267+G267</f>
        <v>0</v>
      </c>
      <c r="I267" s="77">
        <v>0</v>
      </c>
      <c r="J267" s="22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customHeight="1" ht="15">
      <c r="A268"/>
      <c r="B268" s="17" t="s">
        <v>219</v>
      </c>
      <c r="C268" s="18" t="s">
        <v>409</v>
      </c>
      <c r="D268" s="23"/>
      <c r="E268" s="24">
        <v>0</v>
      </c>
      <c r="F268" s="25">
        <v>0</v>
      </c>
      <c r="G268" s="26">
        <v>0</v>
      </c>
      <c r="H268" s="26">
        <f>IF(F268+G268&lt;0, F268+G268, F268+G268)</f>
        <v>0</v>
      </c>
      <c r="I268" s="22">
        <v>0</v>
      </c>
      <c r="J268" s="22">
        <v>0</v>
      </c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customHeight="1" ht="15">
      <c r="A269"/>
      <c r="B269" s="17" t="s">
        <v>154</v>
      </c>
      <c r="C269" s="18" t="s">
        <v>410</v>
      </c>
      <c r="D269" s="23">
        <v>0</v>
      </c>
      <c r="E269" s="24">
        <v>0</v>
      </c>
      <c r="F269" s="25">
        <v>0</v>
      </c>
      <c r="G269" s="26">
        <v>0</v>
      </c>
      <c r="H269" s="26">
        <v>0</v>
      </c>
      <c r="I269" s="26">
        <v>0</v>
      </c>
      <c r="J269" s="22">
        <v>0</v>
      </c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customHeight="1" ht="15">
      <c r="A270"/>
      <c r="B270" s="17" t="s">
        <v>411</v>
      </c>
      <c r="C270" s="18" t="s">
        <v>412</v>
      </c>
      <c r="D270" s="23">
        <v>0</v>
      </c>
      <c r="E270" s="24">
        <v>0</v>
      </c>
      <c r="F270" s="25">
        <v>0</v>
      </c>
      <c r="G270" s="26">
        <v>0</v>
      </c>
      <c r="H270" s="26">
        <v>0</v>
      </c>
      <c r="I270" s="22">
        <v>0</v>
      </c>
      <c r="J270" s="22">
        <v>0</v>
      </c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customHeight="1" ht="15">
      <c r="A271"/>
      <c r="B271" s="17" t="s">
        <v>230</v>
      </c>
      <c r="C271" s="18" t="s">
        <v>413</v>
      </c>
      <c r="D271" s="23">
        <v>0</v>
      </c>
      <c r="E271" s="24">
        <v>0</v>
      </c>
      <c r="F271" s="25">
        <v>0</v>
      </c>
      <c r="G271" s="26">
        <v>0</v>
      </c>
      <c r="H271" s="26">
        <v>0</v>
      </c>
      <c r="I271" s="26">
        <v>0</v>
      </c>
      <c r="J271" s="22">
        <v>0</v>
      </c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customHeight="1" ht="15">
      <c r="A272"/>
      <c r="B272" s="17" t="s">
        <v>414</v>
      </c>
      <c r="C272" s="18" t="s">
        <v>415</v>
      </c>
      <c r="D272" s="23"/>
      <c r="E272" s="24">
        <v>0</v>
      </c>
      <c r="F272" s="25">
        <v>0</v>
      </c>
      <c r="G272" s="26">
        <v>0</v>
      </c>
      <c r="H272" s="26">
        <f>IF(F272+G272&lt;0, F272+G272, F272+G272)</f>
        <v>0</v>
      </c>
      <c r="I272" s="22">
        <v>0</v>
      </c>
      <c r="J272" s="22">
        <v>0</v>
      </c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customHeight="1" ht="15">
      <c r="A273"/>
      <c r="B273" s="17" t="s">
        <v>416</v>
      </c>
      <c r="C273" s="18" t="s">
        <v>417</v>
      </c>
      <c r="D273" s="23"/>
      <c r="E273" s="24">
        <v>0</v>
      </c>
      <c r="F273" s="25">
        <v>0</v>
      </c>
      <c r="G273" s="26">
        <v>-2</v>
      </c>
      <c r="H273" s="26">
        <f>IF(F273+G273&lt;0, F273+G273, F273+G273)</f>
        <v>-2</v>
      </c>
      <c r="I273" s="26">
        <v>-2</v>
      </c>
      <c r="J273" s="22">
        <v>0</v>
      </c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customHeight="1" ht="15">
      <c r="A274"/>
      <c r="B274" s="17" t="s">
        <v>418</v>
      </c>
      <c r="C274" s="18" t="s">
        <v>419</v>
      </c>
      <c r="D274" s="23">
        <v>0</v>
      </c>
      <c r="E274" s="24">
        <v>0</v>
      </c>
      <c r="F274" s="25">
        <v>0</v>
      </c>
      <c r="G274" s="26">
        <v>0</v>
      </c>
      <c r="H274" s="26">
        <v>0</v>
      </c>
      <c r="I274" s="22">
        <v>0</v>
      </c>
      <c r="J274" s="22">
        <v>0</v>
      </c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customHeight="1" ht="15.75">
      <c r="A275"/>
      <c r="B275" s="17" t="s">
        <v>117</v>
      </c>
      <c r="C275" s="18" t="s">
        <v>420</v>
      </c>
      <c r="D275" s="23">
        <v>0</v>
      </c>
      <c r="E275" s="24">
        <v>0</v>
      </c>
      <c r="F275" s="29">
        <v>0</v>
      </c>
      <c r="G275" s="30">
        <v>0</v>
      </c>
      <c r="H275" s="30">
        <v>0</v>
      </c>
      <c r="I275" s="30">
        <v>0</v>
      </c>
      <c r="J275" s="31">
        <v>0</v>
      </c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customHeight="1" ht="15.75">
      <c r="A276"/>
      <c r="B276" s="32"/>
      <c r="C276" s="5" t="s">
        <v>421</v>
      </c>
      <c r="D276" s="41">
        <f>SUM(E277)</f>
        <v>0</v>
      </c>
      <c r="E276" s="42"/>
      <c r="F276" s="38"/>
      <c r="G276" s="40"/>
      <c r="H276" s="39"/>
      <c r="I276" s="38">
        <v>0</v>
      </c>
      <c r="J276" s="39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customHeight="1" ht="15.75">
      <c r="A277"/>
      <c r="B277" s="17" t="s">
        <v>351</v>
      </c>
      <c r="C277" s="18" t="s">
        <v>422</v>
      </c>
      <c r="D277" s="27">
        <v>0</v>
      </c>
      <c r="E277" s="28">
        <v>0</v>
      </c>
      <c r="F277" s="34">
        <v>0</v>
      </c>
      <c r="G277" s="31">
        <v>0</v>
      </c>
      <c r="H277" s="31">
        <v>0</v>
      </c>
      <c r="I277" s="31">
        <v>0</v>
      </c>
      <c r="J277" s="31">
        <v>0</v>
      </c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customHeight="1" ht="15.75">
      <c r="A278"/>
      <c r="B278" s="32">
        <v>1010305012</v>
      </c>
      <c r="C278" s="5" t="s">
        <v>423</v>
      </c>
      <c r="D278" s="38">
        <f>SUM(E279:F280)</f>
        <v>0</v>
      </c>
      <c r="E278" s="39"/>
      <c r="F278" s="38"/>
      <c r="G278" s="40"/>
      <c r="H278" s="39"/>
      <c r="I278" s="38">
        <v>0</v>
      </c>
      <c r="J278" s="39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customHeight="1" ht="15">
      <c r="A279"/>
      <c r="B279" s="17" t="s">
        <v>424</v>
      </c>
      <c r="C279" s="18" t="s">
        <v>425</v>
      </c>
      <c r="D279" s="23">
        <v>0</v>
      </c>
      <c r="E279" s="24">
        <v>0</v>
      </c>
      <c r="F279" s="33">
        <v>0</v>
      </c>
      <c r="G279" s="22">
        <v>0</v>
      </c>
      <c r="H279" s="22">
        <v>0</v>
      </c>
      <c r="I279" s="22">
        <v>0</v>
      </c>
      <c r="J279" s="22">
        <v>0</v>
      </c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customHeight="1" ht="15.75">
      <c r="A280"/>
      <c r="B280" s="17" t="s">
        <v>426</v>
      </c>
      <c r="C280" s="18" t="s">
        <v>427</v>
      </c>
      <c r="D280" s="27">
        <v>0</v>
      </c>
      <c r="E280" s="28">
        <v>0</v>
      </c>
      <c r="F280" s="29">
        <v>0</v>
      </c>
      <c r="G280" s="30">
        <v>0</v>
      </c>
      <c r="H280" s="30">
        <v>0</v>
      </c>
      <c r="I280" s="31">
        <v>0</v>
      </c>
      <c r="J280" s="31">
        <v>0</v>
      </c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customHeight="1" ht="15.75">
      <c r="A281"/>
      <c r="B281" s="32">
        <v>1010305999</v>
      </c>
      <c r="C281" s="5" t="s">
        <v>428</v>
      </c>
      <c r="D281" s="38">
        <f>SUM(E282:F283)</f>
        <v>0</v>
      </c>
      <c r="E281" s="39"/>
      <c r="F281" s="38"/>
      <c r="G281" s="40"/>
      <c r="H281" s="39"/>
      <c r="I281" s="38">
        <v>0</v>
      </c>
      <c r="J281" s="39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customHeight="1" ht="15">
      <c r="A282"/>
      <c r="B282" s="17" t="s">
        <v>361</v>
      </c>
      <c r="C282" s="18" t="s">
        <v>429</v>
      </c>
      <c r="D282" s="23">
        <v>0</v>
      </c>
      <c r="E282" s="24">
        <v>0</v>
      </c>
      <c r="F282" s="33">
        <v>0</v>
      </c>
      <c r="G282" s="22">
        <v>0</v>
      </c>
      <c r="H282" s="22">
        <v>0</v>
      </c>
      <c r="I282" s="22">
        <v>0</v>
      </c>
      <c r="J282" s="22">
        <v>0</v>
      </c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customHeight="1" ht="15.75">
      <c r="A283"/>
      <c r="B283" s="17" t="s">
        <v>363</v>
      </c>
      <c r="C283" s="18" t="s">
        <v>430</v>
      </c>
      <c r="D283" s="23">
        <v>0</v>
      </c>
      <c r="E283" s="24">
        <v>0</v>
      </c>
      <c r="F283" s="29">
        <v>0</v>
      </c>
      <c r="G283" s="30">
        <v>0</v>
      </c>
      <c r="H283" s="30">
        <v>0</v>
      </c>
      <c r="I283" s="22">
        <v>0</v>
      </c>
      <c r="J283" s="22">
        <v>0</v>
      </c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customHeight="1" ht="15.75">
      <c r="A284"/>
      <c r="B284" s="32">
        <v>1010306022</v>
      </c>
      <c r="C284" s="5" t="s">
        <v>431</v>
      </c>
      <c r="D284" s="41">
        <f>SUM(E285)</f>
        <v>0</v>
      </c>
      <c r="E284" s="42"/>
      <c r="F284" s="38"/>
      <c r="G284" s="40"/>
      <c r="H284" s="39"/>
      <c r="I284" s="58">
        <v>0</v>
      </c>
      <c r="J284" s="47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customHeight="1" ht="15.75">
      <c r="A285"/>
      <c r="B285" s="17" t="s">
        <v>202</v>
      </c>
      <c r="C285" s="18" t="s">
        <v>432</v>
      </c>
      <c r="D285" s="23">
        <v>0</v>
      </c>
      <c r="E285" s="24">
        <v>0</v>
      </c>
      <c r="F285" s="33">
        <v>0</v>
      </c>
      <c r="G285" s="22">
        <v>0</v>
      </c>
      <c r="H285" s="22">
        <v>0</v>
      </c>
      <c r="I285" s="22">
        <v>0</v>
      </c>
      <c r="J285" s="22">
        <v>0</v>
      </c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customHeight="1" ht="15.75">
      <c r="A286"/>
      <c r="B286" s="32"/>
      <c r="C286" s="5" t="s">
        <v>433</v>
      </c>
      <c r="D286" s="41">
        <f>SUM(E287)</f>
        <v>0</v>
      </c>
      <c r="E286" s="42"/>
      <c r="F286" s="43"/>
      <c r="G286" s="44"/>
      <c r="H286" s="45"/>
      <c r="I286" s="46">
        <v>0</v>
      </c>
      <c r="J286" s="47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customHeight="1" ht="15.75">
      <c r="A287"/>
      <c r="B287" s="17" t="s">
        <v>202</v>
      </c>
      <c r="C287" s="18" t="s">
        <v>434</v>
      </c>
      <c r="D287" s="27">
        <v>0</v>
      </c>
      <c r="E287" s="28">
        <v>0</v>
      </c>
      <c r="F287" s="29">
        <v>0</v>
      </c>
      <c r="G287" s="30">
        <v>0</v>
      </c>
      <c r="H287" s="30">
        <v>0</v>
      </c>
      <c r="I287" s="31">
        <v>0</v>
      </c>
      <c r="J287" s="31">
        <v>0</v>
      </c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customHeight="1" ht="30.75">
      <c r="A288"/>
      <c r="B288" s="32"/>
      <c r="C288" s="5" t="s">
        <v>435</v>
      </c>
      <c r="D288" s="38">
        <f>SUM(E289:E291)</f>
        <v>0</v>
      </c>
      <c r="E288" s="39"/>
      <c r="F288" s="38"/>
      <c r="G288" s="40"/>
      <c r="H288" s="39"/>
      <c r="I288" s="38">
        <v>0</v>
      </c>
      <c r="J288" s="39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customHeight="1" ht="15">
      <c r="A289"/>
      <c r="B289" s="17" t="s">
        <v>200</v>
      </c>
      <c r="C289" s="18" t="s">
        <v>436</v>
      </c>
      <c r="D289" s="23">
        <v>0</v>
      </c>
      <c r="E289" s="24">
        <v>0</v>
      </c>
      <c r="F289" s="33">
        <v>0</v>
      </c>
      <c r="G289" s="22">
        <v>0</v>
      </c>
      <c r="H289" s="22">
        <v>0</v>
      </c>
      <c r="I289" s="22">
        <v>0</v>
      </c>
      <c r="J289" s="22">
        <v>0</v>
      </c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customHeight="1" ht="15">
      <c r="A290"/>
      <c r="B290" s="17" t="s">
        <v>202</v>
      </c>
      <c r="C290" s="18" t="s">
        <v>437</v>
      </c>
      <c r="D290" s="23">
        <v>0</v>
      </c>
      <c r="E290" s="24">
        <v>0</v>
      </c>
      <c r="F290" s="25">
        <v>0</v>
      </c>
      <c r="G290" s="26">
        <v>0</v>
      </c>
      <c r="H290" s="26">
        <v>0</v>
      </c>
      <c r="I290" s="22">
        <v>0</v>
      </c>
      <c r="J290" s="22">
        <v>0</v>
      </c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customHeight="1" ht="15.75">
      <c r="A291"/>
      <c r="B291" s="17" t="s">
        <v>315</v>
      </c>
      <c r="C291" s="18" t="s">
        <v>438</v>
      </c>
      <c r="D291" s="23">
        <v>0</v>
      </c>
      <c r="E291" s="24">
        <v>0</v>
      </c>
      <c r="F291" s="29">
        <v>0</v>
      </c>
      <c r="G291" s="30">
        <v>0</v>
      </c>
      <c r="H291" s="30">
        <v>0</v>
      </c>
      <c r="I291" s="31">
        <v>0</v>
      </c>
      <c r="J291" s="31">
        <v>0</v>
      </c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customHeight="1" ht="15.75">
      <c r="A292"/>
      <c r="B292" s="32"/>
      <c r="C292" s="5" t="s">
        <v>439</v>
      </c>
      <c r="D292" s="41">
        <v>0</v>
      </c>
      <c r="E292" s="42"/>
      <c r="F292" s="38"/>
      <c r="G292" s="40"/>
      <c r="H292" s="39"/>
      <c r="I292" s="38">
        <v>0</v>
      </c>
      <c r="J292" s="39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customHeight="1" ht="15.75">
      <c r="A293"/>
      <c r="B293" s="17" t="s">
        <v>200</v>
      </c>
      <c r="C293" s="18" t="s">
        <v>440</v>
      </c>
      <c r="D293" s="27">
        <v>0</v>
      </c>
      <c r="E293" s="36"/>
      <c r="F293" s="34">
        <v>0</v>
      </c>
      <c r="G293" s="31">
        <v>0</v>
      </c>
      <c r="H293" s="31">
        <v>0</v>
      </c>
      <c r="I293" s="31">
        <v>0</v>
      </c>
      <c r="J293" s="31">
        <v>0</v>
      </c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customHeight="1" ht="15.75">
      <c r="A294"/>
      <c r="B294" s="32">
        <v>1010399999</v>
      </c>
      <c r="C294" s="5" t="s">
        <v>441</v>
      </c>
      <c r="D294" s="38">
        <f>SUM(E295:F659)</f>
        <v>0</v>
      </c>
      <c r="E294" s="39"/>
      <c r="F294" s="38"/>
      <c r="G294" s="40"/>
      <c r="H294" s="39"/>
      <c r="I294" s="38">
        <v>0</v>
      </c>
      <c r="J294" s="39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>
      <c r="A295"/>
      <c r="B295" s="17" t="s">
        <v>200</v>
      </c>
      <c r="C295" s="18" t="s">
        <v>442</v>
      </c>
      <c r="D295" s="23">
        <v>0</v>
      </c>
      <c r="E295" s="24">
        <v>0</v>
      </c>
      <c r="F295" s="33">
        <v>0</v>
      </c>
      <c r="G295" s="22">
        <v>0</v>
      </c>
      <c r="H295" s="22">
        <v>0</v>
      </c>
      <c r="I295" s="22">
        <v>0</v>
      </c>
      <c r="J295" s="22">
        <v>0</v>
      </c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customHeight="1" ht="15">
      <c r="A296"/>
      <c r="B296" s="17" t="s">
        <v>443</v>
      </c>
      <c r="C296" s="18" t="s">
        <v>444</v>
      </c>
      <c r="D296" s="23">
        <v>0</v>
      </c>
      <c r="E296" s="24">
        <v>0</v>
      </c>
      <c r="F296" s="25">
        <v>0</v>
      </c>
      <c r="G296" s="26">
        <v>0</v>
      </c>
      <c r="H296" s="26">
        <v>0</v>
      </c>
      <c r="I296" s="22">
        <v>0</v>
      </c>
      <c r="J296" s="22">
        <v>0</v>
      </c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customHeight="1" ht="15">
      <c r="A297"/>
      <c r="B297" s="17" t="s">
        <v>445</v>
      </c>
      <c r="C297" s="18" t="s">
        <v>446</v>
      </c>
      <c r="D297" s="23">
        <v>0</v>
      </c>
      <c r="E297" s="24">
        <v>0</v>
      </c>
      <c r="F297" s="25">
        <v>0</v>
      </c>
      <c r="G297" s="26">
        <v>0</v>
      </c>
      <c r="H297" s="26">
        <v>0</v>
      </c>
      <c r="I297" s="22">
        <v>0</v>
      </c>
      <c r="J297" s="22">
        <v>0</v>
      </c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customHeight="1" ht="15">
      <c r="A298"/>
      <c r="B298" s="17" t="s">
        <v>447</v>
      </c>
      <c r="C298" s="18" t="s">
        <v>448</v>
      </c>
      <c r="D298" s="23">
        <v>0</v>
      </c>
      <c r="E298" s="24">
        <v>0</v>
      </c>
      <c r="F298" s="25">
        <v>0</v>
      </c>
      <c r="G298" s="26">
        <v>0</v>
      </c>
      <c r="H298" s="26">
        <v>0</v>
      </c>
      <c r="I298" s="22">
        <v>0</v>
      </c>
      <c r="J298" s="22">
        <v>0</v>
      </c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customHeight="1" ht="15">
      <c r="A299"/>
      <c r="B299" s="17" t="s">
        <v>449</v>
      </c>
      <c r="C299" s="18" t="s">
        <v>450</v>
      </c>
      <c r="D299" s="23">
        <v>0</v>
      </c>
      <c r="E299" s="24">
        <v>0</v>
      </c>
      <c r="F299" s="25">
        <v>0</v>
      </c>
      <c r="G299" s="26">
        <v>0</v>
      </c>
      <c r="H299" s="26">
        <v>0</v>
      </c>
      <c r="I299" s="22">
        <v>0</v>
      </c>
      <c r="J299" s="22">
        <v>0</v>
      </c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customHeight="1" ht="15">
      <c r="A300"/>
      <c r="B300" s="17" t="s">
        <v>451</v>
      </c>
      <c r="C300" s="18" t="s">
        <v>452</v>
      </c>
      <c r="D300" s="23">
        <v>0</v>
      </c>
      <c r="E300" s="24">
        <v>0</v>
      </c>
      <c r="F300" s="25">
        <v>0</v>
      </c>
      <c r="G300" s="26">
        <v>0</v>
      </c>
      <c r="H300" s="26">
        <v>0</v>
      </c>
      <c r="I300" s="22">
        <v>0</v>
      </c>
      <c r="J300" s="22">
        <v>0</v>
      </c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customHeight="1" ht="15">
      <c r="A301"/>
      <c r="B301" s="17" t="s">
        <v>453</v>
      </c>
      <c r="C301" s="18" t="s">
        <v>454</v>
      </c>
      <c r="D301" s="23">
        <v>0</v>
      </c>
      <c r="E301" s="24">
        <v>0</v>
      </c>
      <c r="F301" s="25">
        <v>0</v>
      </c>
      <c r="G301" s="26">
        <v>0</v>
      </c>
      <c r="H301" s="26">
        <v>0</v>
      </c>
      <c r="I301" s="22">
        <v>0</v>
      </c>
      <c r="J301" s="22">
        <v>0</v>
      </c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customHeight="1" ht="15">
      <c r="A302"/>
      <c r="B302" s="17" t="s">
        <v>455</v>
      </c>
      <c r="C302" s="18" t="s">
        <v>456</v>
      </c>
      <c r="D302" s="23">
        <v>0</v>
      </c>
      <c r="E302" s="24">
        <v>0</v>
      </c>
      <c r="F302" s="25">
        <v>0</v>
      </c>
      <c r="G302" s="26">
        <v>0</v>
      </c>
      <c r="H302" s="26">
        <v>0</v>
      </c>
      <c r="I302" s="22">
        <v>0</v>
      </c>
      <c r="J302" s="22">
        <v>0</v>
      </c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customHeight="1" ht="15">
      <c r="A303"/>
      <c r="B303" s="17" t="s">
        <v>405</v>
      </c>
      <c r="C303" s="18" t="s">
        <v>457</v>
      </c>
      <c r="D303" s="23">
        <v>0</v>
      </c>
      <c r="E303" s="24">
        <v>0</v>
      </c>
      <c r="F303" s="25">
        <v>0</v>
      </c>
      <c r="G303" s="26">
        <v>0</v>
      </c>
      <c r="H303" s="26">
        <v>0</v>
      </c>
      <c r="I303" s="22">
        <v>0</v>
      </c>
      <c r="J303" s="22">
        <v>0</v>
      </c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customHeight="1" ht="15">
      <c r="A304"/>
      <c r="B304" s="17" t="s">
        <v>416</v>
      </c>
      <c r="C304" s="18" t="s">
        <v>458</v>
      </c>
      <c r="D304" s="23">
        <v>0</v>
      </c>
      <c r="E304" s="24">
        <v>0</v>
      </c>
      <c r="F304" s="25">
        <v>0</v>
      </c>
      <c r="G304" s="26">
        <v>0</v>
      </c>
      <c r="H304" s="26">
        <v>0</v>
      </c>
      <c r="I304" s="22">
        <v>0</v>
      </c>
      <c r="J304" s="22">
        <v>0</v>
      </c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customHeight="1" ht="15">
      <c r="A305"/>
      <c r="B305" s="17" t="s">
        <v>341</v>
      </c>
      <c r="C305" s="18" t="s">
        <v>459</v>
      </c>
      <c r="D305" s="23">
        <v>0</v>
      </c>
      <c r="E305" s="24">
        <v>0</v>
      </c>
      <c r="F305" s="25">
        <v>0</v>
      </c>
      <c r="G305" s="26">
        <v>0</v>
      </c>
      <c r="H305" s="26">
        <v>0</v>
      </c>
      <c r="I305" s="22">
        <v>0</v>
      </c>
      <c r="J305" s="22">
        <v>0</v>
      </c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customHeight="1" ht="15">
      <c r="A306"/>
      <c r="B306" s="17" t="s">
        <v>343</v>
      </c>
      <c r="C306" s="18" t="s">
        <v>460</v>
      </c>
      <c r="D306" s="23">
        <v>0</v>
      </c>
      <c r="E306" s="24">
        <v>0</v>
      </c>
      <c r="F306" s="25">
        <v>0</v>
      </c>
      <c r="G306" s="26">
        <v>0</v>
      </c>
      <c r="H306" s="26">
        <v>0</v>
      </c>
      <c r="I306" s="22">
        <v>0</v>
      </c>
      <c r="J306" s="22">
        <v>0</v>
      </c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customHeight="1" ht="15">
      <c r="A307"/>
      <c r="B307" s="17" t="s">
        <v>345</v>
      </c>
      <c r="C307" s="18" t="s">
        <v>461</v>
      </c>
      <c r="D307" s="23">
        <v>0</v>
      </c>
      <c r="E307" s="24">
        <v>0</v>
      </c>
      <c r="F307" s="25">
        <v>0</v>
      </c>
      <c r="G307" s="26">
        <v>0</v>
      </c>
      <c r="H307" s="26">
        <v>0</v>
      </c>
      <c r="I307" s="22">
        <v>0</v>
      </c>
      <c r="J307" s="22">
        <v>0</v>
      </c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customHeight="1" ht="15">
      <c r="A308"/>
      <c r="B308" s="17" t="s">
        <v>30</v>
      </c>
      <c r="C308" s="18" t="s">
        <v>462</v>
      </c>
      <c r="D308" s="23">
        <v>0</v>
      </c>
      <c r="E308" s="24">
        <v>0</v>
      </c>
      <c r="F308" s="25">
        <v>0</v>
      </c>
      <c r="G308" s="26">
        <v>0</v>
      </c>
      <c r="H308" s="26">
        <v>0</v>
      </c>
      <c r="I308" s="22">
        <v>0</v>
      </c>
      <c r="J308" s="22">
        <v>0</v>
      </c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customHeight="1" ht="15">
      <c r="A309"/>
      <c r="B309" s="17" t="s">
        <v>123</v>
      </c>
      <c r="C309" s="18" t="s">
        <v>463</v>
      </c>
      <c r="D309" s="23">
        <v>0</v>
      </c>
      <c r="E309" s="24">
        <v>0</v>
      </c>
      <c r="F309" s="25">
        <v>0</v>
      </c>
      <c r="G309" s="26">
        <v>0</v>
      </c>
      <c r="H309" s="26">
        <v>0</v>
      </c>
      <c r="I309" s="22">
        <v>0</v>
      </c>
      <c r="J309" s="22">
        <v>0</v>
      </c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customHeight="1" ht="15">
      <c r="A310"/>
      <c r="B310" s="17" t="s">
        <v>125</v>
      </c>
      <c r="C310" s="18" t="s">
        <v>464</v>
      </c>
      <c r="D310" s="23">
        <v>0</v>
      </c>
      <c r="E310" s="24">
        <v>0</v>
      </c>
      <c r="F310" s="25">
        <v>0</v>
      </c>
      <c r="G310" s="26">
        <v>0</v>
      </c>
      <c r="H310" s="26">
        <v>0</v>
      </c>
      <c r="I310" s="22">
        <v>0</v>
      </c>
      <c r="J310" s="22">
        <v>0</v>
      </c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customHeight="1" ht="15">
      <c r="A311"/>
      <c r="B311" s="17" t="s">
        <v>97</v>
      </c>
      <c r="C311" s="18" t="s">
        <v>465</v>
      </c>
      <c r="D311" s="23">
        <v>0</v>
      </c>
      <c r="E311" s="24">
        <v>0</v>
      </c>
      <c r="F311" s="25">
        <v>0</v>
      </c>
      <c r="G311" s="26">
        <v>0</v>
      </c>
      <c r="H311" s="26">
        <v>0</v>
      </c>
      <c r="I311" s="22">
        <v>0</v>
      </c>
      <c r="J311" s="22">
        <v>0</v>
      </c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customHeight="1" ht="15">
      <c r="A312"/>
      <c r="B312" s="17" t="s">
        <v>101</v>
      </c>
      <c r="C312" s="18" t="s">
        <v>466</v>
      </c>
      <c r="D312" s="23">
        <v>0</v>
      </c>
      <c r="E312" s="24">
        <v>0</v>
      </c>
      <c r="F312" s="25">
        <v>0</v>
      </c>
      <c r="G312" s="26">
        <v>0</v>
      </c>
      <c r="H312" s="26">
        <v>0</v>
      </c>
      <c r="I312" s="22">
        <v>0</v>
      </c>
      <c r="J312" s="22">
        <v>0</v>
      </c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customHeight="1" ht="15">
      <c r="A313"/>
      <c r="B313" s="17" t="s">
        <v>103</v>
      </c>
      <c r="C313" s="18" t="s">
        <v>467</v>
      </c>
      <c r="D313" s="23">
        <v>0</v>
      </c>
      <c r="E313" s="24">
        <v>0</v>
      </c>
      <c r="F313" s="25">
        <v>0</v>
      </c>
      <c r="G313" s="26">
        <v>0</v>
      </c>
      <c r="H313" s="26">
        <v>0</v>
      </c>
      <c r="I313" s="22">
        <v>0</v>
      </c>
      <c r="J313" s="22">
        <v>0</v>
      </c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customHeight="1" ht="15">
      <c r="A314"/>
      <c r="B314" s="17" t="s">
        <v>32</v>
      </c>
      <c r="C314" s="18" t="s">
        <v>468</v>
      </c>
      <c r="D314" s="23">
        <v>0</v>
      </c>
      <c r="E314" s="24">
        <v>0</v>
      </c>
      <c r="F314" s="25">
        <v>0</v>
      </c>
      <c r="G314" s="26">
        <v>0</v>
      </c>
      <c r="H314" s="26">
        <v>0</v>
      </c>
      <c r="I314" s="22">
        <v>0</v>
      </c>
      <c r="J314" s="22">
        <v>0</v>
      </c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customHeight="1" ht="15">
      <c r="A315"/>
      <c r="B315" s="17" t="s">
        <v>162</v>
      </c>
      <c r="C315" s="18" t="s">
        <v>469</v>
      </c>
      <c r="D315" s="23">
        <v>0</v>
      </c>
      <c r="E315" s="24">
        <v>0</v>
      </c>
      <c r="F315" s="25">
        <v>0</v>
      </c>
      <c r="G315" s="26">
        <v>0</v>
      </c>
      <c r="H315" s="26">
        <v>0</v>
      </c>
      <c r="I315" s="22">
        <v>0</v>
      </c>
      <c r="J315" s="22">
        <v>0</v>
      </c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customHeight="1" ht="15">
      <c r="A316"/>
      <c r="B316" s="17" t="s">
        <v>34</v>
      </c>
      <c r="C316" s="18" t="s">
        <v>470</v>
      </c>
      <c r="D316" s="23">
        <v>0</v>
      </c>
      <c r="E316" s="24">
        <v>0</v>
      </c>
      <c r="F316" s="25">
        <v>0</v>
      </c>
      <c r="G316" s="26">
        <v>0</v>
      </c>
      <c r="H316" s="26">
        <v>0</v>
      </c>
      <c r="I316" s="22">
        <v>0</v>
      </c>
      <c r="J316" s="22">
        <v>0</v>
      </c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customHeight="1" ht="15">
      <c r="A317"/>
      <c r="B317" s="17" t="s">
        <v>164</v>
      </c>
      <c r="C317" s="18" t="s">
        <v>471</v>
      </c>
      <c r="D317" s="23">
        <v>0</v>
      </c>
      <c r="E317" s="24">
        <v>0</v>
      </c>
      <c r="F317" s="25">
        <v>0</v>
      </c>
      <c r="G317" s="26">
        <v>0</v>
      </c>
      <c r="H317" s="26">
        <v>0</v>
      </c>
      <c r="I317" s="22">
        <v>0</v>
      </c>
      <c r="J317" s="22">
        <v>0</v>
      </c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customHeight="1" ht="15">
      <c r="A318"/>
      <c r="B318" s="17" t="s">
        <v>166</v>
      </c>
      <c r="C318" s="18" t="s">
        <v>472</v>
      </c>
      <c r="D318" s="23">
        <v>0</v>
      </c>
      <c r="E318" s="24">
        <v>0</v>
      </c>
      <c r="F318" s="25">
        <v>0</v>
      </c>
      <c r="G318" s="26">
        <v>0</v>
      </c>
      <c r="H318" s="26">
        <v>0</v>
      </c>
      <c r="I318" s="22">
        <v>0</v>
      </c>
      <c r="J318" s="22">
        <v>0</v>
      </c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customHeight="1" ht="15">
      <c r="A319"/>
      <c r="B319" s="17" t="s">
        <v>168</v>
      </c>
      <c r="C319" s="18" t="s">
        <v>473</v>
      </c>
      <c r="D319" s="23">
        <v>0</v>
      </c>
      <c r="E319" s="24">
        <v>0</v>
      </c>
      <c r="F319" s="25">
        <v>0</v>
      </c>
      <c r="G319" s="26">
        <v>0</v>
      </c>
      <c r="H319" s="26">
        <v>0</v>
      </c>
      <c r="I319" s="22">
        <v>0</v>
      </c>
      <c r="J319" s="22">
        <v>0</v>
      </c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customHeight="1" ht="15">
      <c r="A320"/>
      <c r="B320" s="17" t="s">
        <v>36</v>
      </c>
      <c r="C320" s="18" t="s">
        <v>474</v>
      </c>
      <c r="D320" s="23">
        <v>0</v>
      </c>
      <c r="E320" s="24">
        <v>0</v>
      </c>
      <c r="F320" s="25">
        <v>0</v>
      </c>
      <c r="G320" s="26">
        <v>0</v>
      </c>
      <c r="H320" s="26">
        <v>0</v>
      </c>
      <c r="I320" s="22">
        <v>0</v>
      </c>
      <c r="J320" s="22">
        <v>0</v>
      </c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customHeight="1" ht="15">
      <c r="A321"/>
      <c r="B321" s="17" t="s">
        <v>475</v>
      </c>
      <c r="C321" s="18" t="s">
        <v>476</v>
      </c>
      <c r="D321" s="23">
        <v>0</v>
      </c>
      <c r="E321" s="24">
        <v>0</v>
      </c>
      <c r="F321" s="25">
        <v>0</v>
      </c>
      <c r="G321" s="26">
        <v>0</v>
      </c>
      <c r="H321" s="26">
        <v>0</v>
      </c>
      <c r="I321" s="22">
        <v>0</v>
      </c>
      <c r="J321" s="22">
        <v>0</v>
      </c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customHeight="1" ht="15">
      <c r="A322"/>
      <c r="B322" s="17" t="s">
        <v>477</v>
      </c>
      <c r="C322" s="18" t="s">
        <v>478</v>
      </c>
      <c r="D322" s="23">
        <v>0</v>
      </c>
      <c r="E322" s="24">
        <v>0</v>
      </c>
      <c r="F322" s="25">
        <v>0</v>
      </c>
      <c r="G322" s="26">
        <v>0</v>
      </c>
      <c r="H322" s="26">
        <v>0</v>
      </c>
      <c r="I322" s="22">
        <v>0</v>
      </c>
      <c r="J322" s="22">
        <v>0</v>
      </c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customHeight="1" ht="15">
      <c r="A323"/>
      <c r="B323" s="17" t="s">
        <v>479</v>
      </c>
      <c r="C323" s="18" t="s">
        <v>480</v>
      </c>
      <c r="D323" s="23">
        <v>0</v>
      </c>
      <c r="E323" s="24">
        <v>0</v>
      </c>
      <c r="F323" s="25">
        <v>0</v>
      </c>
      <c r="G323" s="26">
        <v>0</v>
      </c>
      <c r="H323" s="26">
        <v>0</v>
      </c>
      <c r="I323" s="22">
        <v>0</v>
      </c>
      <c r="J323" s="22">
        <v>0</v>
      </c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customHeight="1" ht="15">
      <c r="A324"/>
      <c r="B324" s="17" t="s">
        <v>481</v>
      </c>
      <c r="C324" s="18" t="s">
        <v>482</v>
      </c>
      <c r="D324" s="23">
        <v>0</v>
      </c>
      <c r="E324" s="24">
        <v>0</v>
      </c>
      <c r="F324" s="25">
        <v>0</v>
      </c>
      <c r="G324" s="26">
        <v>0</v>
      </c>
      <c r="H324" s="26">
        <v>0</v>
      </c>
      <c r="I324" s="22">
        <v>0</v>
      </c>
      <c r="J324" s="22">
        <v>0</v>
      </c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customHeight="1" ht="15">
      <c r="A325"/>
      <c r="B325" s="17" t="s">
        <v>483</v>
      </c>
      <c r="C325" s="18" t="s">
        <v>484</v>
      </c>
      <c r="D325" s="23">
        <v>0</v>
      </c>
      <c r="E325" s="24">
        <v>0</v>
      </c>
      <c r="F325" s="25">
        <v>0</v>
      </c>
      <c r="G325" s="26">
        <v>0</v>
      </c>
      <c r="H325" s="26">
        <v>0</v>
      </c>
      <c r="I325" s="22">
        <v>0</v>
      </c>
      <c r="J325" s="22">
        <v>0</v>
      </c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customHeight="1" ht="15">
      <c r="A326"/>
      <c r="B326" s="17" t="s">
        <v>485</v>
      </c>
      <c r="C326" s="18" t="s">
        <v>486</v>
      </c>
      <c r="D326" s="23">
        <v>0</v>
      </c>
      <c r="E326" s="24">
        <v>0</v>
      </c>
      <c r="F326" s="25">
        <v>0</v>
      </c>
      <c r="G326" s="26">
        <v>0</v>
      </c>
      <c r="H326" s="26">
        <v>0</v>
      </c>
      <c r="I326" s="22">
        <v>0</v>
      </c>
      <c r="J326" s="22">
        <v>0</v>
      </c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customHeight="1" ht="15">
      <c r="A327"/>
      <c r="B327" s="17" t="s">
        <v>487</v>
      </c>
      <c r="C327" s="18" t="s">
        <v>488</v>
      </c>
      <c r="D327" s="23">
        <v>0</v>
      </c>
      <c r="E327" s="24">
        <v>0</v>
      </c>
      <c r="F327" s="25">
        <v>0</v>
      </c>
      <c r="G327" s="26">
        <v>0</v>
      </c>
      <c r="H327" s="26">
        <v>0</v>
      </c>
      <c r="I327" s="22">
        <v>0</v>
      </c>
      <c r="J327" s="22">
        <v>0</v>
      </c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customHeight="1" ht="15">
      <c r="A328"/>
      <c r="B328" s="17" t="s">
        <v>489</v>
      </c>
      <c r="C328" s="18" t="s">
        <v>490</v>
      </c>
      <c r="D328" s="23">
        <v>0</v>
      </c>
      <c r="E328" s="24">
        <v>0</v>
      </c>
      <c r="F328" s="25">
        <v>0</v>
      </c>
      <c r="G328" s="26">
        <v>0</v>
      </c>
      <c r="H328" s="26">
        <v>0</v>
      </c>
      <c r="I328" s="22">
        <v>0</v>
      </c>
      <c r="J328" s="22">
        <v>0</v>
      </c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customHeight="1" ht="15">
      <c r="A329"/>
      <c r="B329" s="17" t="s">
        <v>491</v>
      </c>
      <c r="C329" s="18" t="s">
        <v>492</v>
      </c>
      <c r="D329" s="23">
        <v>0</v>
      </c>
      <c r="E329" s="24">
        <v>0</v>
      </c>
      <c r="F329" s="25">
        <v>0</v>
      </c>
      <c r="G329" s="26">
        <v>0</v>
      </c>
      <c r="H329" s="26">
        <v>0</v>
      </c>
      <c r="I329" s="22">
        <v>0</v>
      </c>
      <c r="J329" s="22">
        <v>0</v>
      </c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customHeight="1" ht="15">
      <c r="A330"/>
      <c r="B330" s="17" t="s">
        <v>493</v>
      </c>
      <c r="C330" s="18" t="s">
        <v>494</v>
      </c>
      <c r="D330" s="23">
        <v>0</v>
      </c>
      <c r="E330" s="24">
        <v>0</v>
      </c>
      <c r="F330" s="25">
        <v>0</v>
      </c>
      <c r="G330" s="26">
        <v>0</v>
      </c>
      <c r="H330" s="26">
        <v>0</v>
      </c>
      <c r="I330" s="22">
        <v>0</v>
      </c>
      <c r="J330" s="22">
        <v>0</v>
      </c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customHeight="1" ht="15">
      <c r="A331"/>
      <c r="B331" s="17" t="s">
        <v>495</v>
      </c>
      <c r="C331" s="18" t="s">
        <v>496</v>
      </c>
      <c r="D331" s="23">
        <v>0</v>
      </c>
      <c r="E331" s="24">
        <v>0</v>
      </c>
      <c r="F331" s="25">
        <v>0</v>
      </c>
      <c r="G331" s="26">
        <v>0</v>
      </c>
      <c r="H331" s="26">
        <v>0</v>
      </c>
      <c r="I331" s="22">
        <v>0</v>
      </c>
      <c r="J331" s="22">
        <v>0</v>
      </c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customHeight="1" ht="15">
      <c r="A332"/>
      <c r="B332" s="17" t="s">
        <v>497</v>
      </c>
      <c r="C332" s="18" t="s">
        <v>498</v>
      </c>
      <c r="D332" s="23">
        <v>0</v>
      </c>
      <c r="E332" s="24">
        <v>0</v>
      </c>
      <c r="F332" s="25">
        <v>0</v>
      </c>
      <c r="G332" s="26">
        <v>0</v>
      </c>
      <c r="H332" s="26">
        <v>0</v>
      </c>
      <c r="I332" s="22">
        <v>0</v>
      </c>
      <c r="J332" s="22">
        <v>0</v>
      </c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customHeight="1" ht="15">
      <c r="A333"/>
      <c r="B333" s="17" t="s">
        <v>499</v>
      </c>
      <c r="C333" s="18" t="s">
        <v>500</v>
      </c>
      <c r="D333" s="23">
        <v>0</v>
      </c>
      <c r="E333" s="24">
        <v>0</v>
      </c>
      <c r="F333" s="25">
        <v>0</v>
      </c>
      <c r="G333" s="26">
        <v>0</v>
      </c>
      <c r="H333" s="26">
        <v>0</v>
      </c>
      <c r="I333" s="22">
        <v>0</v>
      </c>
      <c r="J333" s="22">
        <v>0</v>
      </c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customHeight="1" ht="15">
      <c r="A334"/>
      <c r="B334" s="17" t="s">
        <v>501</v>
      </c>
      <c r="C334" s="18" t="s">
        <v>502</v>
      </c>
      <c r="D334" s="23">
        <v>0</v>
      </c>
      <c r="E334" s="24">
        <v>0</v>
      </c>
      <c r="F334" s="25">
        <v>0</v>
      </c>
      <c r="G334" s="26">
        <v>0</v>
      </c>
      <c r="H334" s="26">
        <v>0</v>
      </c>
      <c r="I334" s="22">
        <v>0</v>
      </c>
      <c r="J334" s="22">
        <v>0</v>
      </c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customHeight="1" ht="15">
      <c r="A335"/>
      <c r="B335" s="17" t="s">
        <v>503</v>
      </c>
      <c r="C335" s="18" t="s">
        <v>504</v>
      </c>
      <c r="D335" s="23">
        <v>0</v>
      </c>
      <c r="E335" s="24">
        <v>0</v>
      </c>
      <c r="F335" s="25">
        <v>0</v>
      </c>
      <c r="G335" s="26">
        <v>0</v>
      </c>
      <c r="H335" s="26">
        <v>0</v>
      </c>
      <c r="I335" s="22">
        <v>0</v>
      </c>
      <c r="J335" s="22">
        <v>0</v>
      </c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customHeight="1" ht="15">
      <c r="A336"/>
      <c r="B336" s="17" t="s">
        <v>505</v>
      </c>
      <c r="C336" s="18" t="s">
        <v>506</v>
      </c>
      <c r="D336" s="23">
        <v>0</v>
      </c>
      <c r="E336" s="24">
        <v>0</v>
      </c>
      <c r="F336" s="25">
        <v>0</v>
      </c>
      <c r="G336" s="26">
        <v>0</v>
      </c>
      <c r="H336" s="26">
        <v>0</v>
      </c>
      <c r="I336" s="22">
        <v>0</v>
      </c>
      <c r="J336" s="22">
        <v>0</v>
      </c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customHeight="1" ht="15">
      <c r="A337"/>
      <c r="B337" s="17" t="s">
        <v>507</v>
      </c>
      <c r="C337" s="18" t="s">
        <v>508</v>
      </c>
      <c r="D337" s="23">
        <v>0</v>
      </c>
      <c r="E337" s="24">
        <v>0</v>
      </c>
      <c r="F337" s="25">
        <v>0</v>
      </c>
      <c r="G337" s="26">
        <v>0</v>
      </c>
      <c r="H337" s="26">
        <v>0</v>
      </c>
      <c r="I337" s="22">
        <v>0</v>
      </c>
      <c r="J337" s="22">
        <v>0</v>
      </c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customHeight="1" ht="15">
      <c r="A338"/>
      <c r="B338" s="17" t="s">
        <v>509</v>
      </c>
      <c r="C338" s="18" t="s">
        <v>510</v>
      </c>
      <c r="D338" s="23">
        <v>0</v>
      </c>
      <c r="E338" s="24">
        <v>0</v>
      </c>
      <c r="F338" s="25">
        <v>0</v>
      </c>
      <c r="G338" s="26">
        <v>0</v>
      </c>
      <c r="H338" s="26">
        <v>0</v>
      </c>
      <c r="I338" s="22">
        <v>0</v>
      </c>
      <c r="J338" s="22">
        <v>0</v>
      </c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customHeight="1" ht="15">
      <c r="A339"/>
      <c r="B339" s="17" t="s">
        <v>511</v>
      </c>
      <c r="C339" s="18" t="s">
        <v>512</v>
      </c>
      <c r="D339" s="23">
        <v>0</v>
      </c>
      <c r="E339" s="24">
        <v>0</v>
      </c>
      <c r="F339" s="25">
        <v>0</v>
      </c>
      <c r="G339" s="26">
        <v>0</v>
      </c>
      <c r="H339" s="26">
        <v>0</v>
      </c>
      <c r="I339" s="22">
        <v>0</v>
      </c>
      <c r="J339" s="22">
        <v>0</v>
      </c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customHeight="1" ht="15">
      <c r="A340"/>
      <c r="B340" s="17" t="s">
        <v>513</v>
      </c>
      <c r="C340" s="18" t="s">
        <v>514</v>
      </c>
      <c r="D340" s="23">
        <v>0</v>
      </c>
      <c r="E340" s="24">
        <v>0</v>
      </c>
      <c r="F340" s="25">
        <v>0</v>
      </c>
      <c r="G340" s="26">
        <v>0</v>
      </c>
      <c r="H340" s="26">
        <v>0</v>
      </c>
      <c r="I340" s="22">
        <v>0</v>
      </c>
      <c r="J340" s="22">
        <v>0</v>
      </c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customHeight="1" ht="15">
      <c r="A341"/>
      <c r="B341" s="17" t="s">
        <v>515</v>
      </c>
      <c r="C341" s="18" t="s">
        <v>516</v>
      </c>
      <c r="D341" s="23">
        <v>0</v>
      </c>
      <c r="E341" s="24">
        <v>0</v>
      </c>
      <c r="F341" s="25">
        <v>0</v>
      </c>
      <c r="G341" s="26">
        <v>0</v>
      </c>
      <c r="H341" s="26">
        <v>0</v>
      </c>
      <c r="I341" s="22">
        <v>0</v>
      </c>
      <c r="J341" s="22">
        <v>0</v>
      </c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customHeight="1" ht="15">
      <c r="A342"/>
      <c r="B342" s="17" t="s">
        <v>517</v>
      </c>
      <c r="C342" s="18" t="s">
        <v>518</v>
      </c>
      <c r="D342" s="23">
        <v>0</v>
      </c>
      <c r="E342" s="24">
        <v>0</v>
      </c>
      <c r="F342" s="25">
        <v>0</v>
      </c>
      <c r="G342" s="26">
        <v>0</v>
      </c>
      <c r="H342" s="26">
        <v>0</v>
      </c>
      <c r="I342" s="22">
        <v>0</v>
      </c>
      <c r="J342" s="22">
        <v>0</v>
      </c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customHeight="1" ht="15">
      <c r="A343"/>
      <c r="B343" s="17" t="s">
        <v>519</v>
      </c>
      <c r="C343" s="18" t="s">
        <v>520</v>
      </c>
      <c r="D343" s="23">
        <v>0</v>
      </c>
      <c r="E343" s="24">
        <v>0</v>
      </c>
      <c r="F343" s="25">
        <v>0</v>
      </c>
      <c r="G343" s="26">
        <v>0</v>
      </c>
      <c r="H343" s="26">
        <v>0</v>
      </c>
      <c r="I343" s="22">
        <v>0</v>
      </c>
      <c r="J343" s="22">
        <v>0</v>
      </c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customHeight="1" ht="15">
      <c r="A344"/>
      <c r="B344" s="17" t="s">
        <v>521</v>
      </c>
      <c r="C344" s="18" t="s">
        <v>459</v>
      </c>
      <c r="D344" s="23">
        <v>0</v>
      </c>
      <c r="E344" s="24">
        <v>0</v>
      </c>
      <c r="F344" s="25">
        <v>0</v>
      </c>
      <c r="G344" s="26">
        <v>0</v>
      </c>
      <c r="H344" s="26">
        <v>0</v>
      </c>
      <c r="I344" s="22">
        <v>0</v>
      </c>
      <c r="J344" s="22">
        <v>0</v>
      </c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customHeight="1" ht="15">
      <c r="A345"/>
      <c r="B345" s="17" t="s">
        <v>522</v>
      </c>
      <c r="C345" s="18" t="s">
        <v>523</v>
      </c>
      <c r="D345" s="23">
        <v>0</v>
      </c>
      <c r="E345" s="24">
        <v>0</v>
      </c>
      <c r="F345" s="25">
        <v>0</v>
      </c>
      <c r="G345" s="26">
        <v>0</v>
      </c>
      <c r="H345" s="26">
        <v>0</v>
      </c>
      <c r="I345" s="22">
        <v>0</v>
      </c>
      <c r="J345" s="22">
        <v>0</v>
      </c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customHeight="1" ht="15">
      <c r="A346"/>
      <c r="B346" s="17" t="s">
        <v>524</v>
      </c>
      <c r="C346" s="18" t="s">
        <v>525</v>
      </c>
      <c r="D346" s="23">
        <v>0</v>
      </c>
      <c r="E346" s="24">
        <v>0</v>
      </c>
      <c r="F346" s="25">
        <v>0</v>
      </c>
      <c r="G346" s="26">
        <v>0</v>
      </c>
      <c r="H346" s="26">
        <v>0</v>
      </c>
      <c r="I346" s="22">
        <v>0</v>
      </c>
      <c r="J346" s="22">
        <v>0</v>
      </c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customHeight="1" ht="15">
      <c r="A347"/>
      <c r="B347" s="17" t="s">
        <v>526</v>
      </c>
      <c r="C347" s="18" t="s">
        <v>527</v>
      </c>
      <c r="D347" s="23">
        <v>0</v>
      </c>
      <c r="E347" s="24">
        <v>0</v>
      </c>
      <c r="F347" s="25">
        <v>0</v>
      </c>
      <c r="G347" s="26">
        <v>0</v>
      </c>
      <c r="H347" s="26">
        <v>0</v>
      </c>
      <c r="I347" s="22">
        <v>0</v>
      </c>
      <c r="J347" s="22">
        <v>0</v>
      </c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customHeight="1" ht="15">
      <c r="A348"/>
      <c r="B348" s="17" t="s">
        <v>528</v>
      </c>
      <c r="C348" s="18" t="s">
        <v>529</v>
      </c>
      <c r="D348" s="23">
        <v>0</v>
      </c>
      <c r="E348" s="24">
        <v>0</v>
      </c>
      <c r="F348" s="25">
        <v>0</v>
      </c>
      <c r="G348" s="26">
        <v>0</v>
      </c>
      <c r="H348" s="26">
        <v>0</v>
      </c>
      <c r="I348" s="22">
        <v>0</v>
      </c>
      <c r="J348" s="22">
        <v>0</v>
      </c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customHeight="1" ht="15">
      <c r="A349"/>
      <c r="B349" s="17" t="s">
        <v>530</v>
      </c>
      <c r="C349" s="18" t="s">
        <v>531</v>
      </c>
      <c r="D349" s="23">
        <v>0</v>
      </c>
      <c r="E349" s="24">
        <v>0</v>
      </c>
      <c r="F349" s="25">
        <v>0</v>
      </c>
      <c r="G349" s="26">
        <v>0</v>
      </c>
      <c r="H349" s="26">
        <v>0</v>
      </c>
      <c r="I349" s="22">
        <v>0</v>
      </c>
      <c r="J349" s="22">
        <v>0</v>
      </c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customHeight="1" ht="15">
      <c r="A350"/>
      <c r="B350" s="17" t="s">
        <v>532</v>
      </c>
      <c r="C350" s="18" t="s">
        <v>533</v>
      </c>
      <c r="D350" s="23">
        <v>0</v>
      </c>
      <c r="E350" s="24">
        <v>0</v>
      </c>
      <c r="F350" s="25">
        <v>0</v>
      </c>
      <c r="G350" s="26">
        <v>0</v>
      </c>
      <c r="H350" s="26">
        <v>0</v>
      </c>
      <c r="I350" s="22">
        <v>0</v>
      </c>
      <c r="J350" s="22">
        <v>0</v>
      </c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customHeight="1" ht="15">
      <c r="A351"/>
      <c r="B351" s="17" t="s">
        <v>534</v>
      </c>
      <c r="C351" s="18" t="s">
        <v>535</v>
      </c>
      <c r="D351" s="23">
        <v>0</v>
      </c>
      <c r="E351" s="24">
        <v>0</v>
      </c>
      <c r="F351" s="25">
        <v>0</v>
      </c>
      <c r="G351" s="26">
        <v>0</v>
      </c>
      <c r="H351" s="26">
        <v>0</v>
      </c>
      <c r="I351" s="22">
        <v>0</v>
      </c>
      <c r="J351" s="22">
        <v>0</v>
      </c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customHeight="1" ht="15">
      <c r="A352"/>
      <c r="B352" s="17" t="s">
        <v>536</v>
      </c>
      <c r="C352" s="18" t="s">
        <v>537</v>
      </c>
      <c r="D352" s="23">
        <v>0</v>
      </c>
      <c r="E352" s="24">
        <v>0</v>
      </c>
      <c r="F352" s="25">
        <v>0</v>
      </c>
      <c r="G352" s="26">
        <v>0</v>
      </c>
      <c r="H352" s="26">
        <v>0</v>
      </c>
      <c r="I352" s="22">
        <v>0</v>
      </c>
      <c r="J352" s="22">
        <v>0</v>
      </c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customHeight="1" ht="15">
      <c r="A353"/>
      <c r="B353" s="17" t="s">
        <v>538</v>
      </c>
      <c r="C353" s="18" t="s">
        <v>293</v>
      </c>
      <c r="D353" s="23">
        <v>0</v>
      </c>
      <c r="E353" s="24">
        <v>0</v>
      </c>
      <c r="F353" s="25">
        <v>0</v>
      </c>
      <c r="G353" s="26">
        <v>0</v>
      </c>
      <c r="H353" s="26">
        <v>0</v>
      </c>
      <c r="I353" s="22">
        <v>0</v>
      </c>
      <c r="J353" s="22">
        <v>0</v>
      </c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customHeight="1" ht="15">
      <c r="A354"/>
      <c r="B354" s="17" t="s">
        <v>539</v>
      </c>
      <c r="C354" s="18" t="s">
        <v>540</v>
      </c>
      <c r="D354" s="23">
        <v>0</v>
      </c>
      <c r="E354" s="24">
        <v>0</v>
      </c>
      <c r="F354" s="25">
        <v>0</v>
      </c>
      <c r="G354" s="26">
        <v>0</v>
      </c>
      <c r="H354" s="26">
        <v>0</v>
      </c>
      <c r="I354" s="22">
        <v>0</v>
      </c>
      <c r="J354" s="22">
        <v>0</v>
      </c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customHeight="1" ht="15">
      <c r="A355"/>
      <c r="B355" s="17" t="s">
        <v>541</v>
      </c>
      <c r="C355" s="18" t="s">
        <v>542</v>
      </c>
      <c r="D355" s="23">
        <v>0</v>
      </c>
      <c r="E355" s="24">
        <v>0</v>
      </c>
      <c r="F355" s="25">
        <v>0</v>
      </c>
      <c r="G355" s="26">
        <v>0</v>
      </c>
      <c r="H355" s="26">
        <v>0</v>
      </c>
      <c r="I355" s="22">
        <v>0</v>
      </c>
      <c r="J355" s="22">
        <v>0</v>
      </c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customHeight="1" ht="15">
      <c r="A356"/>
      <c r="B356" s="17" t="s">
        <v>543</v>
      </c>
      <c r="C356" s="18" t="s">
        <v>544</v>
      </c>
      <c r="D356" s="23">
        <v>0</v>
      </c>
      <c r="E356" s="24">
        <v>0</v>
      </c>
      <c r="F356" s="25">
        <v>0</v>
      </c>
      <c r="G356" s="26">
        <v>0</v>
      </c>
      <c r="H356" s="26">
        <v>0</v>
      </c>
      <c r="I356" s="22">
        <v>0</v>
      </c>
      <c r="J356" s="22">
        <v>0</v>
      </c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customHeight="1" ht="15">
      <c r="A357"/>
      <c r="B357" s="17" t="s">
        <v>545</v>
      </c>
      <c r="C357" s="18" t="s">
        <v>546</v>
      </c>
      <c r="D357" s="23">
        <v>0</v>
      </c>
      <c r="E357" s="24">
        <v>0</v>
      </c>
      <c r="F357" s="25">
        <v>0</v>
      </c>
      <c r="G357" s="26">
        <v>0</v>
      </c>
      <c r="H357" s="26">
        <v>0</v>
      </c>
      <c r="I357" s="22">
        <v>0</v>
      </c>
      <c r="J357" s="22">
        <v>0</v>
      </c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customHeight="1" ht="15">
      <c r="A358"/>
      <c r="B358" s="17" t="s">
        <v>547</v>
      </c>
      <c r="C358" s="18" t="s">
        <v>548</v>
      </c>
      <c r="D358" s="23">
        <v>0</v>
      </c>
      <c r="E358" s="24">
        <v>0</v>
      </c>
      <c r="F358" s="25">
        <v>0</v>
      </c>
      <c r="G358" s="26">
        <v>0</v>
      </c>
      <c r="H358" s="26">
        <v>0</v>
      </c>
      <c r="I358" s="22">
        <v>0</v>
      </c>
      <c r="J358" s="22">
        <v>0</v>
      </c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customHeight="1" ht="15">
      <c r="A359"/>
      <c r="B359" s="17" t="s">
        <v>549</v>
      </c>
      <c r="C359" s="18" t="s">
        <v>550</v>
      </c>
      <c r="D359" s="23">
        <v>0</v>
      </c>
      <c r="E359" s="24">
        <v>0</v>
      </c>
      <c r="F359" s="25">
        <v>0</v>
      </c>
      <c r="G359" s="26">
        <v>0</v>
      </c>
      <c r="H359" s="26">
        <v>0</v>
      </c>
      <c r="I359" s="22">
        <v>0</v>
      </c>
      <c r="J359" s="22">
        <v>0</v>
      </c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customHeight="1" ht="15">
      <c r="A360"/>
      <c r="B360" s="17" t="s">
        <v>551</v>
      </c>
      <c r="C360" s="18" t="s">
        <v>552</v>
      </c>
      <c r="D360" s="23">
        <v>0</v>
      </c>
      <c r="E360" s="24">
        <v>0</v>
      </c>
      <c r="F360" s="25">
        <v>0</v>
      </c>
      <c r="G360" s="26">
        <v>0</v>
      </c>
      <c r="H360" s="26">
        <v>0</v>
      </c>
      <c r="I360" s="22">
        <v>0</v>
      </c>
      <c r="J360" s="22">
        <v>0</v>
      </c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customHeight="1" ht="15">
      <c r="A361"/>
      <c r="B361" s="17" t="s">
        <v>553</v>
      </c>
      <c r="C361" s="18" t="s">
        <v>554</v>
      </c>
      <c r="D361" s="23">
        <v>0</v>
      </c>
      <c r="E361" s="24">
        <v>0</v>
      </c>
      <c r="F361" s="25">
        <v>0</v>
      </c>
      <c r="G361" s="26">
        <v>0</v>
      </c>
      <c r="H361" s="26">
        <v>0</v>
      </c>
      <c r="I361" s="22">
        <v>0</v>
      </c>
      <c r="J361" s="22">
        <v>0</v>
      </c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customHeight="1" ht="15">
      <c r="A362"/>
      <c r="B362" s="17" t="s">
        <v>555</v>
      </c>
      <c r="C362" s="18" t="s">
        <v>556</v>
      </c>
      <c r="D362" s="23">
        <v>0</v>
      </c>
      <c r="E362" s="24">
        <v>0</v>
      </c>
      <c r="F362" s="25">
        <v>0</v>
      </c>
      <c r="G362" s="26">
        <v>0</v>
      </c>
      <c r="H362" s="26">
        <v>0</v>
      </c>
      <c r="I362" s="22">
        <v>0</v>
      </c>
      <c r="J362" s="22">
        <v>0</v>
      </c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customHeight="1" ht="15">
      <c r="A363"/>
      <c r="B363" s="17" t="s">
        <v>557</v>
      </c>
      <c r="C363" s="18" t="s">
        <v>558</v>
      </c>
      <c r="D363" s="23">
        <v>0</v>
      </c>
      <c r="E363" s="24">
        <v>0</v>
      </c>
      <c r="F363" s="25">
        <v>0</v>
      </c>
      <c r="G363" s="26">
        <v>0</v>
      </c>
      <c r="H363" s="26">
        <v>0</v>
      </c>
      <c r="I363" s="22">
        <v>0</v>
      </c>
      <c r="J363" s="22">
        <v>0</v>
      </c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customHeight="1" ht="15">
      <c r="A364"/>
      <c r="B364" s="17" t="s">
        <v>559</v>
      </c>
      <c r="C364" s="18" t="s">
        <v>560</v>
      </c>
      <c r="D364" s="23">
        <v>0</v>
      </c>
      <c r="E364" s="24">
        <v>0</v>
      </c>
      <c r="F364" s="25">
        <v>0</v>
      </c>
      <c r="G364" s="26">
        <v>0</v>
      </c>
      <c r="H364" s="26">
        <v>0</v>
      </c>
      <c r="I364" s="22">
        <v>0</v>
      </c>
      <c r="J364" s="22">
        <v>0</v>
      </c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customHeight="1" ht="15">
      <c r="A365"/>
      <c r="B365" s="17" t="s">
        <v>561</v>
      </c>
      <c r="C365" s="18" t="s">
        <v>562</v>
      </c>
      <c r="D365" s="23">
        <v>0</v>
      </c>
      <c r="E365" s="24">
        <v>0</v>
      </c>
      <c r="F365" s="25">
        <v>0</v>
      </c>
      <c r="G365" s="26">
        <v>0</v>
      </c>
      <c r="H365" s="26">
        <v>0</v>
      </c>
      <c r="I365" s="22">
        <v>0</v>
      </c>
      <c r="J365" s="22">
        <v>0</v>
      </c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customHeight="1" ht="15">
      <c r="A366"/>
      <c r="B366" s="17" t="s">
        <v>563</v>
      </c>
      <c r="C366" s="18" t="s">
        <v>564</v>
      </c>
      <c r="D366" s="23">
        <v>0</v>
      </c>
      <c r="E366" s="24">
        <v>0</v>
      </c>
      <c r="F366" s="25">
        <v>0</v>
      </c>
      <c r="G366" s="26">
        <v>0</v>
      </c>
      <c r="H366" s="26">
        <v>0</v>
      </c>
      <c r="I366" s="22">
        <v>0</v>
      </c>
      <c r="J366" s="22">
        <v>0</v>
      </c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customHeight="1" ht="15">
      <c r="A367"/>
      <c r="B367" s="17" t="s">
        <v>565</v>
      </c>
      <c r="C367" s="18" t="s">
        <v>566</v>
      </c>
      <c r="D367" s="23">
        <v>0</v>
      </c>
      <c r="E367" s="24">
        <v>0</v>
      </c>
      <c r="F367" s="25">
        <v>0</v>
      </c>
      <c r="G367" s="26">
        <v>0</v>
      </c>
      <c r="H367" s="26">
        <v>0</v>
      </c>
      <c r="I367" s="22">
        <v>0</v>
      </c>
      <c r="J367" s="22">
        <v>0</v>
      </c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customHeight="1" ht="15">
      <c r="A368"/>
      <c r="B368" s="17" t="s">
        <v>567</v>
      </c>
      <c r="C368" s="18" t="s">
        <v>568</v>
      </c>
      <c r="D368" s="23">
        <v>0</v>
      </c>
      <c r="E368" s="24">
        <v>0</v>
      </c>
      <c r="F368" s="25">
        <v>0</v>
      </c>
      <c r="G368" s="26">
        <v>0</v>
      </c>
      <c r="H368" s="26">
        <v>0</v>
      </c>
      <c r="I368" s="22">
        <v>0</v>
      </c>
      <c r="J368" s="22">
        <v>0</v>
      </c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customHeight="1" ht="15">
      <c r="A369"/>
      <c r="B369" s="17" t="s">
        <v>569</v>
      </c>
      <c r="C369" s="18" t="s">
        <v>570</v>
      </c>
      <c r="D369" s="23">
        <v>0</v>
      </c>
      <c r="E369" s="24">
        <v>0</v>
      </c>
      <c r="F369" s="25">
        <v>0</v>
      </c>
      <c r="G369" s="26">
        <v>0</v>
      </c>
      <c r="H369" s="26">
        <v>0</v>
      </c>
      <c r="I369" s="22">
        <v>0</v>
      </c>
      <c r="J369" s="22">
        <v>0</v>
      </c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customHeight="1" ht="15">
      <c r="A370"/>
      <c r="B370" s="17" t="s">
        <v>571</v>
      </c>
      <c r="C370" s="18" t="s">
        <v>572</v>
      </c>
      <c r="D370" s="23">
        <v>0</v>
      </c>
      <c r="E370" s="24">
        <v>0</v>
      </c>
      <c r="F370" s="25">
        <v>0</v>
      </c>
      <c r="G370" s="26">
        <v>0</v>
      </c>
      <c r="H370" s="26">
        <v>0</v>
      </c>
      <c r="I370" s="22">
        <v>0</v>
      </c>
      <c r="J370" s="22">
        <v>0</v>
      </c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customHeight="1" ht="15">
      <c r="A371"/>
      <c r="B371" s="17" t="s">
        <v>573</v>
      </c>
      <c r="C371" s="18" t="s">
        <v>574</v>
      </c>
      <c r="D371" s="23">
        <v>0</v>
      </c>
      <c r="E371" s="24">
        <v>0</v>
      </c>
      <c r="F371" s="25">
        <v>0</v>
      </c>
      <c r="G371" s="26">
        <v>0</v>
      </c>
      <c r="H371" s="26">
        <v>0</v>
      </c>
      <c r="I371" s="22">
        <v>0</v>
      </c>
      <c r="J371" s="22">
        <v>0</v>
      </c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customHeight="1" ht="15">
      <c r="A372"/>
      <c r="B372" s="17" t="s">
        <v>575</v>
      </c>
      <c r="C372" s="18" t="s">
        <v>576</v>
      </c>
      <c r="D372" s="23"/>
      <c r="E372" s="24">
        <v>0</v>
      </c>
      <c r="F372" s="25">
        <v>0</v>
      </c>
      <c r="G372" s="26">
        <v>0</v>
      </c>
      <c r="H372" s="26">
        <f>IF(F372+G372&lt;0, F372+G372, F372+G372)</f>
        <v>0</v>
      </c>
      <c r="I372" s="22">
        <v>0</v>
      </c>
      <c r="J372" s="22">
        <v>0</v>
      </c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customHeight="1" ht="15">
      <c r="A373"/>
      <c r="B373" s="17" t="s">
        <v>577</v>
      </c>
      <c r="C373" s="18" t="s">
        <v>578</v>
      </c>
      <c r="D373" s="23">
        <v>0</v>
      </c>
      <c r="E373" s="24">
        <v>0</v>
      </c>
      <c r="F373" s="25">
        <v>0</v>
      </c>
      <c r="G373" s="26">
        <v>0</v>
      </c>
      <c r="H373" s="26">
        <v>0</v>
      </c>
      <c r="I373" s="22">
        <v>0</v>
      </c>
      <c r="J373" s="22">
        <v>0</v>
      </c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customHeight="1" ht="15">
      <c r="A374"/>
      <c r="B374" s="17" t="s">
        <v>579</v>
      </c>
      <c r="C374" s="18" t="s">
        <v>580</v>
      </c>
      <c r="D374" s="23">
        <v>0</v>
      </c>
      <c r="E374" s="24">
        <v>0</v>
      </c>
      <c r="F374" s="25">
        <v>0</v>
      </c>
      <c r="G374" s="26">
        <v>0</v>
      </c>
      <c r="H374" s="26">
        <v>0</v>
      </c>
      <c r="I374" s="22">
        <v>0</v>
      </c>
      <c r="J374" s="22">
        <v>0</v>
      </c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customHeight="1" ht="15">
      <c r="A375"/>
      <c r="B375" s="17" t="s">
        <v>581</v>
      </c>
      <c r="C375" s="18" t="s">
        <v>582</v>
      </c>
      <c r="D375" s="23">
        <v>0</v>
      </c>
      <c r="E375" s="24">
        <v>0</v>
      </c>
      <c r="F375" s="25">
        <v>0</v>
      </c>
      <c r="G375" s="26">
        <v>0</v>
      </c>
      <c r="H375" s="26">
        <v>0</v>
      </c>
      <c r="I375" s="22">
        <v>0</v>
      </c>
      <c r="J375" s="22">
        <v>0</v>
      </c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>
      <c r="A376"/>
      <c r="B376" s="17" t="s">
        <v>583</v>
      </c>
      <c r="C376" s="18" t="s">
        <v>584</v>
      </c>
      <c r="D376" s="23">
        <v>0</v>
      </c>
      <c r="E376" s="24">
        <v>0</v>
      </c>
      <c r="F376" s="25">
        <v>0</v>
      </c>
      <c r="G376" s="26">
        <v>0</v>
      </c>
      <c r="H376" s="26">
        <v>0</v>
      </c>
      <c r="I376" s="22">
        <v>0</v>
      </c>
      <c r="J376" s="22">
        <v>0</v>
      </c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customHeight="1" ht="15">
      <c r="A377"/>
      <c r="B377" s="17" t="s">
        <v>585</v>
      </c>
      <c r="C377" s="18" t="s">
        <v>586</v>
      </c>
      <c r="D377" s="23">
        <v>0</v>
      </c>
      <c r="E377" s="24">
        <v>0</v>
      </c>
      <c r="F377" s="25">
        <v>0</v>
      </c>
      <c r="G377" s="26">
        <v>0</v>
      </c>
      <c r="H377" s="26">
        <v>0</v>
      </c>
      <c r="I377" s="22">
        <v>0</v>
      </c>
      <c r="J377" s="22">
        <v>0</v>
      </c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customHeight="1" ht="15">
      <c r="A378"/>
      <c r="B378" s="17" t="s">
        <v>587</v>
      </c>
      <c r="C378" s="18" t="s">
        <v>588</v>
      </c>
      <c r="D378" s="23">
        <v>0</v>
      </c>
      <c r="E378" s="24">
        <v>0</v>
      </c>
      <c r="F378" s="25">
        <v>0</v>
      </c>
      <c r="G378" s="26">
        <v>0</v>
      </c>
      <c r="H378" s="26">
        <v>0</v>
      </c>
      <c r="I378" s="22">
        <v>0</v>
      </c>
      <c r="J378" s="22">
        <v>0</v>
      </c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customHeight="1" ht="15">
      <c r="A379"/>
      <c r="B379" s="17" t="s">
        <v>589</v>
      </c>
      <c r="C379" s="18" t="s">
        <v>590</v>
      </c>
      <c r="D379" s="23">
        <v>0</v>
      </c>
      <c r="E379" s="24">
        <v>0</v>
      </c>
      <c r="F379" s="25">
        <v>0</v>
      </c>
      <c r="G379" s="26">
        <v>0</v>
      </c>
      <c r="H379" s="26">
        <v>0</v>
      </c>
      <c r="I379" s="22">
        <v>0</v>
      </c>
      <c r="J379" s="22">
        <v>0</v>
      </c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customHeight="1" ht="15">
      <c r="A380"/>
      <c r="B380" s="17" t="s">
        <v>591</v>
      </c>
      <c r="C380" s="18" t="s">
        <v>592</v>
      </c>
      <c r="D380" s="23">
        <v>0</v>
      </c>
      <c r="E380" s="24">
        <v>0</v>
      </c>
      <c r="F380" s="25">
        <v>0</v>
      </c>
      <c r="G380" s="26">
        <v>0</v>
      </c>
      <c r="H380" s="26">
        <v>0</v>
      </c>
      <c r="I380" s="22">
        <v>0</v>
      </c>
      <c r="J380" s="22">
        <v>0</v>
      </c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customHeight="1" ht="15">
      <c r="A381"/>
      <c r="B381" s="17" t="s">
        <v>593</v>
      </c>
      <c r="C381" s="18" t="s">
        <v>594</v>
      </c>
      <c r="D381" s="23">
        <v>0</v>
      </c>
      <c r="E381" s="24">
        <v>0</v>
      </c>
      <c r="F381" s="25">
        <v>0</v>
      </c>
      <c r="G381" s="26">
        <v>0</v>
      </c>
      <c r="H381" s="26">
        <v>0</v>
      </c>
      <c r="I381" s="22">
        <v>0</v>
      </c>
      <c r="J381" s="22">
        <v>0</v>
      </c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customHeight="1" ht="15">
      <c r="A382"/>
      <c r="B382" s="17" t="s">
        <v>595</v>
      </c>
      <c r="C382" s="18" t="s">
        <v>596</v>
      </c>
      <c r="D382" s="23">
        <v>0</v>
      </c>
      <c r="E382" s="24">
        <v>0</v>
      </c>
      <c r="F382" s="25">
        <v>0</v>
      </c>
      <c r="G382" s="26">
        <v>0</v>
      </c>
      <c r="H382" s="26">
        <v>0</v>
      </c>
      <c r="I382" s="22">
        <v>0</v>
      </c>
      <c r="J382" s="22">
        <v>0</v>
      </c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customHeight="1" ht="15">
      <c r="A383"/>
      <c r="B383" s="17" t="s">
        <v>597</v>
      </c>
      <c r="C383" s="18" t="s">
        <v>598</v>
      </c>
      <c r="D383" s="23">
        <v>0</v>
      </c>
      <c r="E383" s="24">
        <v>0</v>
      </c>
      <c r="F383" s="25">
        <v>0</v>
      </c>
      <c r="G383" s="26">
        <v>0</v>
      </c>
      <c r="H383" s="26">
        <v>0</v>
      </c>
      <c r="I383" s="22">
        <v>0</v>
      </c>
      <c r="J383" s="22">
        <v>0</v>
      </c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customHeight="1" ht="15">
      <c r="A384"/>
      <c r="B384" s="17" t="s">
        <v>599</v>
      </c>
      <c r="C384" s="18" t="s">
        <v>600</v>
      </c>
      <c r="D384" s="23">
        <v>0</v>
      </c>
      <c r="E384" s="24">
        <v>0</v>
      </c>
      <c r="F384" s="25">
        <v>0</v>
      </c>
      <c r="G384" s="26">
        <v>0</v>
      </c>
      <c r="H384" s="26">
        <v>0</v>
      </c>
      <c r="I384" s="22">
        <v>0</v>
      </c>
      <c r="J384" s="22">
        <v>0</v>
      </c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customHeight="1" ht="15">
      <c r="A385"/>
      <c r="B385" s="17" t="s">
        <v>601</v>
      </c>
      <c r="C385" s="18" t="s">
        <v>602</v>
      </c>
      <c r="D385" s="23">
        <v>0</v>
      </c>
      <c r="E385" s="24">
        <v>0</v>
      </c>
      <c r="F385" s="25">
        <v>0</v>
      </c>
      <c r="G385" s="26">
        <v>0</v>
      </c>
      <c r="H385" s="26">
        <v>0</v>
      </c>
      <c r="I385" s="22">
        <v>0</v>
      </c>
      <c r="J385" s="22">
        <v>0</v>
      </c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customHeight="1" ht="15">
      <c r="A386"/>
      <c r="B386" s="17" t="s">
        <v>603</v>
      </c>
      <c r="C386" s="18" t="s">
        <v>604</v>
      </c>
      <c r="D386" s="23">
        <v>0</v>
      </c>
      <c r="E386" s="24">
        <v>0</v>
      </c>
      <c r="F386" s="25">
        <v>0</v>
      </c>
      <c r="G386" s="26">
        <v>0</v>
      </c>
      <c r="H386" s="26">
        <v>0</v>
      </c>
      <c r="I386" s="22">
        <v>0</v>
      </c>
      <c r="J386" s="22">
        <v>0</v>
      </c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customHeight="1" ht="15">
      <c r="A387"/>
      <c r="B387" s="17" t="s">
        <v>605</v>
      </c>
      <c r="C387" s="18" t="s">
        <v>606</v>
      </c>
      <c r="D387" s="23">
        <v>0</v>
      </c>
      <c r="E387" s="24">
        <v>0</v>
      </c>
      <c r="F387" s="25">
        <v>0</v>
      </c>
      <c r="G387" s="26">
        <v>0</v>
      </c>
      <c r="H387" s="26">
        <v>0</v>
      </c>
      <c r="I387" s="22">
        <v>0</v>
      </c>
      <c r="J387" s="22">
        <v>0</v>
      </c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customHeight="1" ht="15">
      <c r="A388"/>
      <c r="B388" s="17" t="s">
        <v>607</v>
      </c>
      <c r="C388" s="18" t="s">
        <v>608</v>
      </c>
      <c r="D388" s="23">
        <v>0</v>
      </c>
      <c r="E388" s="24">
        <v>0</v>
      </c>
      <c r="F388" s="25">
        <v>0</v>
      </c>
      <c r="G388" s="26">
        <v>0</v>
      </c>
      <c r="H388" s="26">
        <v>0</v>
      </c>
      <c r="I388" s="22">
        <v>0</v>
      </c>
      <c r="J388" s="22">
        <v>0</v>
      </c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customHeight="1" ht="15">
      <c r="A389"/>
      <c r="B389" s="17" t="s">
        <v>609</v>
      </c>
      <c r="C389" s="18" t="s">
        <v>610</v>
      </c>
      <c r="D389" s="23">
        <v>0</v>
      </c>
      <c r="E389" s="24">
        <v>0</v>
      </c>
      <c r="F389" s="25">
        <v>0</v>
      </c>
      <c r="G389" s="26">
        <v>0</v>
      </c>
      <c r="H389" s="26">
        <v>0</v>
      </c>
      <c r="I389" s="22">
        <v>0</v>
      </c>
      <c r="J389" s="22">
        <v>0</v>
      </c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customHeight="1" ht="15">
      <c r="A390"/>
      <c r="B390" s="17" t="s">
        <v>611</v>
      </c>
      <c r="C390" s="18" t="s">
        <v>612</v>
      </c>
      <c r="D390" s="23">
        <v>0</v>
      </c>
      <c r="E390" s="24">
        <v>0</v>
      </c>
      <c r="F390" s="25">
        <v>0</v>
      </c>
      <c r="G390" s="26">
        <v>0</v>
      </c>
      <c r="H390" s="26">
        <v>0</v>
      </c>
      <c r="I390" s="22">
        <v>0</v>
      </c>
      <c r="J390" s="22">
        <v>0</v>
      </c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customHeight="1" ht="15">
      <c r="A391"/>
      <c r="B391" s="17" t="s">
        <v>613</v>
      </c>
      <c r="C391" s="18" t="s">
        <v>614</v>
      </c>
      <c r="D391" s="23">
        <v>0</v>
      </c>
      <c r="E391" s="24">
        <v>0</v>
      </c>
      <c r="F391" s="25">
        <v>0</v>
      </c>
      <c r="G391" s="26">
        <v>0</v>
      </c>
      <c r="H391" s="26">
        <v>0</v>
      </c>
      <c r="I391" s="22">
        <v>0</v>
      </c>
      <c r="J391" s="22">
        <v>0</v>
      </c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customHeight="1" ht="15">
      <c r="A392"/>
      <c r="B392" s="17" t="s">
        <v>615</v>
      </c>
      <c r="C392" s="18" t="s">
        <v>616</v>
      </c>
      <c r="D392" s="23">
        <v>0</v>
      </c>
      <c r="E392" s="24">
        <v>0</v>
      </c>
      <c r="F392" s="25">
        <v>0</v>
      </c>
      <c r="G392" s="26">
        <v>0</v>
      </c>
      <c r="H392" s="26">
        <v>0</v>
      </c>
      <c r="I392" s="22">
        <v>0</v>
      </c>
      <c r="J392" s="22">
        <v>0</v>
      </c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customHeight="1" ht="15">
      <c r="A393"/>
      <c r="B393" s="17" t="s">
        <v>617</v>
      </c>
      <c r="C393" s="18" t="s">
        <v>618</v>
      </c>
      <c r="D393" s="23">
        <v>0</v>
      </c>
      <c r="E393" s="24">
        <v>0</v>
      </c>
      <c r="F393" s="25">
        <v>0</v>
      </c>
      <c r="G393" s="26">
        <v>0</v>
      </c>
      <c r="H393" s="26">
        <v>0</v>
      </c>
      <c r="I393" s="22">
        <v>0</v>
      </c>
      <c r="J393" s="22">
        <v>0</v>
      </c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customHeight="1" ht="15">
      <c r="A394"/>
      <c r="B394" s="17" t="s">
        <v>619</v>
      </c>
      <c r="C394" s="18" t="s">
        <v>620</v>
      </c>
      <c r="D394" s="23">
        <v>0</v>
      </c>
      <c r="E394" s="24">
        <v>0</v>
      </c>
      <c r="F394" s="25">
        <v>0</v>
      </c>
      <c r="G394" s="26">
        <v>0</v>
      </c>
      <c r="H394" s="26">
        <v>0</v>
      </c>
      <c r="I394" s="22">
        <v>0</v>
      </c>
      <c r="J394" s="22">
        <v>0</v>
      </c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customHeight="1" ht="15">
      <c r="A395"/>
      <c r="B395" s="17" t="s">
        <v>621</v>
      </c>
      <c r="C395" s="18" t="s">
        <v>622</v>
      </c>
      <c r="D395" s="23">
        <v>0</v>
      </c>
      <c r="E395" s="24">
        <v>0</v>
      </c>
      <c r="F395" s="25">
        <v>0</v>
      </c>
      <c r="G395" s="26">
        <v>0</v>
      </c>
      <c r="H395" s="26">
        <v>0</v>
      </c>
      <c r="I395" s="22">
        <v>0</v>
      </c>
      <c r="J395" s="22">
        <v>0</v>
      </c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customHeight="1" ht="15">
      <c r="A396"/>
      <c r="B396" s="17" t="s">
        <v>623</v>
      </c>
      <c r="C396" s="18" t="s">
        <v>624</v>
      </c>
      <c r="D396" s="23">
        <v>0</v>
      </c>
      <c r="E396" s="24">
        <v>0</v>
      </c>
      <c r="F396" s="25">
        <v>0</v>
      </c>
      <c r="G396" s="26">
        <v>0</v>
      </c>
      <c r="H396" s="26">
        <v>0</v>
      </c>
      <c r="I396" s="22">
        <v>0</v>
      </c>
      <c r="J396" s="22">
        <v>0</v>
      </c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customHeight="1" ht="15">
      <c r="A397"/>
      <c r="B397" s="17" t="s">
        <v>625</v>
      </c>
      <c r="C397" s="18" t="s">
        <v>626</v>
      </c>
      <c r="D397" s="23">
        <v>0</v>
      </c>
      <c r="E397" s="24">
        <v>0</v>
      </c>
      <c r="F397" s="25">
        <v>0</v>
      </c>
      <c r="G397" s="26">
        <v>0</v>
      </c>
      <c r="H397" s="26">
        <v>0</v>
      </c>
      <c r="I397" s="22">
        <v>0</v>
      </c>
      <c r="J397" s="22">
        <v>0</v>
      </c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customHeight="1" ht="15">
      <c r="A398"/>
      <c r="B398" s="17" t="s">
        <v>627</v>
      </c>
      <c r="C398" s="18" t="s">
        <v>628</v>
      </c>
      <c r="D398" s="23">
        <v>0</v>
      </c>
      <c r="E398" s="24">
        <v>0</v>
      </c>
      <c r="F398" s="25">
        <v>0</v>
      </c>
      <c r="G398" s="26">
        <v>0</v>
      </c>
      <c r="H398" s="26">
        <v>0</v>
      </c>
      <c r="I398" s="22">
        <v>0</v>
      </c>
      <c r="J398" s="22">
        <v>0</v>
      </c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customHeight="1" ht="15">
      <c r="A399"/>
      <c r="B399" s="17" t="s">
        <v>629</v>
      </c>
      <c r="C399" s="18" t="s">
        <v>488</v>
      </c>
      <c r="D399" s="23">
        <v>0</v>
      </c>
      <c r="E399" s="24">
        <v>0</v>
      </c>
      <c r="F399" s="25">
        <v>0</v>
      </c>
      <c r="G399" s="26">
        <v>0</v>
      </c>
      <c r="H399" s="26">
        <v>0</v>
      </c>
      <c r="I399" s="22">
        <v>0</v>
      </c>
      <c r="J399" s="22">
        <v>0</v>
      </c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customHeight="1" ht="15">
      <c r="A400"/>
      <c r="B400" s="17" t="s">
        <v>630</v>
      </c>
      <c r="C400" s="18" t="s">
        <v>631</v>
      </c>
      <c r="D400" s="23">
        <v>0</v>
      </c>
      <c r="E400" s="24">
        <v>0</v>
      </c>
      <c r="F400" s="25">
        <v>0</v>
      </c>
      <c r="G400" s="26">
        <v>0</v>
      </c>
      <c r="H400" s="26">
        <v>0</v>
      </c>
      <c r="I400" s="22">
        <v>0</v>
      </c>
      <c r="J400" s="22">
        <v>0</v>
      </c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customHeight="1" ht="15">
      <c r="A401"/>
      <c r="B401" s="17" t="s">
        <v>632</v>
      </c>
      <c r="C401" s="18" t="s">
        <v>633</v>
      </c>
      <c r="D401" s="23">
        <v>0</v>
      </c>
      <c r="E401" s="24">
        <v>0</v>
      </c>
      <c r="F401" s="25">
        <v>0</v>
      </c>
      <c r="G401" s="26">
        <v>0</v>
      </c>
      <c r="H401" s="26">
        <v>0</v>
      </c>
      <c r="I401" s="22">
        <v>0</v>
      </c>
      <c r="J401" s="22">
        <v>0</v>
      </c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customHeight="1" ht="15">
      <c r="A402"/>
      <c r="B402" s="17" t="s">
        <v>634</v>
      </c>
      <c r="C402" s="18" t="s">
        <v>490</v>
      </c>
      <c r="D402" s="23">
        <v>0</v>
      </c>
      <c r="E402" s="24">
        <v>0</v>
      </c>
      <c r="F402" s="25">
        <v>0</v>
      </c>
      <c r="G402" s="26">
        <v>0</v>
      </c>
      <c r="H402" s="26">
        <v>0</v>
      </c>
      <c r="I402" s="22">
        <v>0</v>
      </c>
      <c r="J402" s="22">
        <v>0</v>
      </c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customHeight="1" ht="15">
      <c r="A403"/>
      <c r="B403" s="17" t="s">
        <v>635</v>
      </c>
      <c r="C403" s="18" t="s">
        <v>486</v>
      </c>
      <c r="D403" s="23">
        <v>0</v>
      </c>
      <c r="E403" s="24">
        <v>0</v>
      </c>
      <c r="F403" s="25">
        <v>0</v>
      </c>
      <c r="G403" s="26">
        <v>0</v>
      </c>
      <c r="H403" s="26">
        <v>0</v>
      </c>
      <c r="I403" s="22">
        <v>0</v>
      </c>
      <c r="J403" s="22">
        <v>0</v>
      </c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customHeight="1" ht="15">
      <c r="A404"/>
      <c r="B404" s="17" t="s">
        <v>636</v>
      </c>
      <c r="C404" s="18" t="s">
        <v>637</v>
      </c>
      <c r="D404" s="23">
        <v>0</v>
      </c>
      <c r="E404" s="24">
        <v>0</v>
      </c>
      <c r="F404" s="25">
        <v>0</v>
      </c>
      <c r="G404" s="26">
        <v>0</v>
      </c>
      <c r="H404" s="26">
        <v>0</v>
      </c>
      <c r="I404" s="22">
        <v>0</v>
      </c>
      <c r="J404" s="22">
        <v>0</v>
      </c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customHeight="1" ht="15">
      <c r="A405"/>
      <c r="B405" s="17" t="s">
        <v>638</v>
      </c>
      <c r="C405" s="18" t="s">
        <v>639</v>
      </c>
      <c r="D405" s="23">
        <v>0</v>
      </c>
      <c r="E405" s="24">
        <v>0</v>
      </c>
      <c r="F405" s="25">
        <v>0</v>
      </c>
      <c r="G405" s="26">
        <v>0</v>
      </c>
      <c r="H405" s="26">
        <v>0</v>
      </c>
      <c r="I405" s="22">
        <v>0</v>
      </c>
      <c r="J405" s="22">
        <v>0</v>
      </c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customHeight="1" ht="15">
      <c r="A406"/>
      <c r="B406" s="17" t="s">
        <v>640</v>
      </c>
      <c r="C406" s="18" t="s">
        <v>641</v>
      </c>
      <c r="D406" s="23">
        <v>0</v>
      </c>
      <c r="E406" s="24">
        <v>0</v>
      </c>
      <c r="F406" s="25">
        <v>0</v>
      </c>
      <c r="G406" s="26">
        <v>0</v>
      </c>
      <c r="H406" s="26">
        <v>0</v>
      </c>
      <c r="I406" s="22">
        <v>0</v>
      </c>
      <c r="J406" s="22">
        <v>0</v>
      </c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customHeight="1" ht="15">
      <c r="A407"/>
      <c r="B407" s="17" t="s">
        <v>642</v>
      </c>
      <c r="C407" s="18" t="s">
        <v>643</v>
      </c>
      <c r="D407" s="23">
        <v>0</v>
      </c>
      <c r="E407" s="24">
        <v>0</v>
      </c>
      <c r="F407" s="25">
        <v>0</v>
      </c>
      <c r="G407" s="26">
        <v>0</v>
      </c>
      <c r="H407" s="26">
        <v>0</v>
      </c>
      <c r="I407" s="22">
        <v>0</v>
      </c>
      <c r="J407" s="22">
        <v>0</v>
      </c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customHeight="1" ht="15">
      <c r="A408"/>
      <c r="B408" s="17" t="s">
        <v>644</v>
      </c>
      <c r="C408" s="18" t="s">
        <v>645</v>
      </c>
      <c r="D408" s="23">
        <v>0</v>
      </c>
      <c r="E408" s="24">
        <v>0</v>
      </c>
      <c r="F408" s="25">
        <v>0</v>
      </c>
      <c r="G408" s="26">
        <v>0</v>
      </c>
      <c r="H408" s="26">
        <v>0</v>
      </c>
      <c r="I408" s="22">
        <v>0</v>
      </c>
      <c r="J408" s="22">
        <v>0</v>
      </c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customHeight="1" ht="15">
      <c r="A409"/>
      <c r="B409" s="17" t="s">
        <v>646</v>
      </c>
      <c r="C409" s="18" t="s">
        <v>647</v>
      </c>
      <c r="D409" s="23">
        <v>0</v>
      </c>
      <c r="E409" s="24">
        <v>0</v>
      </c>
      <c r="F409" s="25">
        <v>0</v>
      </c>
      <c r="G409" s="26">
        <v>0</v>
      </c>
      <c r="H409" s="26">
        <v>0</v>
      </c>
      <c r="I409" s="22">
        <v>0</v>
      </c>
      <c r="J409" s="22">
        <v>0</v>
      </c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customHeight="1" ht="15">
      <c r="A410"/>
      <c r="B410" s="17" t="s">
        <v>648</v>
      </c>
      <c r="C410" s="18" t="s">
        <v>649</v>
      </c>
      <c r="D410" s="23">
        <v>0</v>
      </c>
      <c r="E410" s="24">
        <v>0</v>
      </c>
      <c r="F410" s="25">
        <v>0</v>
      </c>
      <c r="G410" s="26">
        <v>0</v>
      </c>
      <c r="H410" s="26">
        <v>0</v>
      </c>
      <c r="I410" s="22">
        <v>0</v>
      </c>
      <c r="J410" s="22">
        <v>0</v>
      </c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customHeight="1" ht="15">
      <c r="A411"/>
      <c r="B411" s="17" t="s">
        <v>650</v>
      </c>
      <c r="C411" s="18" t="s">
        <v>498</v>
      </c>
      <c r="D411" s="23">
        <v>0</v>
      </c>
      <c r="E411" s="24">
        <v>0</v>
      </c>
      <c r="F411" s="25">
        <v>0</v>
      </c>
      <c r="G411" s="26">
        <v>0</v>
      </c>
      <c r="H411" s="26">
        <v>0</v>
      </c>
      <c r="I411" s="22">
        <v>0</v>
      </c>
      <c r="J411" s="22">
        <v>0</v>
      </c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customHeight="1" ht="15">
      <c r="A412"/>
      <c r="B412" s="17" t="s">
        <v>651</v>
      </c>
      <c r="C412" s="18" t="s">
        <v>500</v>
      </c>
      <c r="D412" s="23">
        <v>0</v>
      </c>
      <c r="E412" s="24">
        <v>0</v>
      </c>
      <c r="F412" s="25">
        <v>0</v>
      </c>
      <c r="G412" s="26">
        <v>0</v>
      </c>
      <c r="H412" s="26">
        <v>0</v>
      </c>
      <c r="I412" s="22">
        <v>0</v>
      </c>
      <c r="J412" s="22">
        <v>0</v>
      </c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customHeight="1" ht="15">
      <c r="A413"/>
      <c r="B413" s="17" t="s">
        <v>652</v>
      </c>
      <c r="C413" s="18" t="s">
        <v>653</v>
      </c>
      <c r="D413" s="23">
        <v>0</v>
      </c>
      <c r="E413" s="24">
        <v>0</v>
      </c>
      <c r="F413" s="25">
        <v>0</v>
      </c>
      <c r="G413" s="26">
        <v>0</v>
      </c>
      <c r="H413" s="26">
        <v>0</v>
      </c>
      <c r="I413" s="22">
        <v>0</v>
      </c>
      <c r="J413" s="22">
        <v>0</v>
      </c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customHeight="1" ht="15">
      <c r="A414"/>
      <c r="B414" s="17" t="s">
        <v>654</v>
      </c>
      <c r="C414" s="18" t="s">
        <v>655</v>
      </c>
      <c r="D414" s="23">
        <v>0</v>
      </c>
      <c r="E414" s="24">
        <v>0</v>
      </c>
      <c r="F414" s="25">
        <v>0</v>
      </c>
      <c r="G414" s="26">
        <v>0</v>
      </c>
      <c r="H414" s="26">
        <v>0</v>
      </c>
      <c r="I414" s="22">
        <v>0</v>
      </c>
      <c r="J414" s="22">
        <v>0</v>
      </c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customHeight="1" ht="15">
      <c r="A415"/>
      <c r="B415" s="17" t="s">
        <v>656</v>
      </c>
      <c r="C415" s="18" t="s">
        <v>657</v>
      </c>
      <c r="D415" s="23">
        <v>0</v>
      </c>
      <c r="E415" s="24">
        <v>0</v>
      </c>
      <c r="F415" s="25">
        <v>0</v>
      </c>
      <c r="G415" s="26">
        <v>0</v>
      </c>
      <c r="H415" s="26">
        <v>0</v>
      </c>
      <c r="I415" s="22">
        <v>0</v>
      </c>
      <c r="J415" s="22">
        <v>0</v>
      </c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customHeight="1" ht="15">
      <c r="A416"/>
      <c r="B416" s="17" t="s">
        <v>658</v>
      </c>
      <c r="C416" s="18" t="s">
        <v>659</v>
      </c>
      <c r="D416" s="23">
        <v>0</v>
      </c>
      <c r="E416" s="24">
        <v>0</v>
      </c>
      <c r="F416" s="25">
        <v>0</v>
      </c>
      <c r="G416" s="26">
        <v>0</v>
      </c>
      <c r="H416" s="26">
        <v>0</v>
      </c>
      <c r="I416" s="22">
        <v>0</v>
      </c>
      <c r="J416" s="22">
        <v>0</v>
      </c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customHeight="1" ht="15">
      <c r="A417"/>
      <c r="B417" s="17" t="s">
        <v>660</v>
      </c>
      <c r="C417" s="18" t="s">
        <v>661</v>
      </c>
      <c r="D417" s="23">
        <v>0</v>
      </c>
      <c r="E417" s="24">
        <v>0</v>
      </c>
      <c r="F417" s="25">
        <v>0</v>
      </c>
      <c r="G417" s="26">
        <v>0</v>
      </c>
      <c r="H417" s="26">
        <v>0</v>
      </c>
      <c r="I417" s="22">
        <v>0</v>
      </c>
      <c r="J417" s="22">
        <v>0</v>
      </c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customHeight="1" ht="15">
      <c r="A418"/>
      <c r="B418" s="17" t="s">
        <v>662</v>
      </c>
      <c r="C418" s="18" t="s">
        <v>663</v>
      </c>
      <c r="D418" s="23">
        <v>0</v>
      </c>
      <c r="E418" s="24">
        <v>0</v>
      </c>
      <c r="F418" s="25">
        <v>0</v>
      </c>
      <c r="G418" s="26">
        <v>0</v>
      </c>
      <c r="H418" s="26">
        <v>0</v>
      </c>
      <c r="I418" s="22">
        <v>0</v>
      </c>
      <c r="J418" s="22">
        <v>0</v>
      </c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customHeight="1" ht="15">
      <c r="A419"/>
      <c r="B419" s="17" t="s">
        <v>664</v>
      </c>
      <c r="C419" s="18" t="s">
        <v>665</v>
      </c>
      <c r="D419" s="23">
        <v>0</v>
      </c>
      <c r="E419" s="24">
        <v>0</v>
      </c>
      <c r="F419" s="25">
        <v>0</v>
      </c>
      <c r="G419" s="26">
        <v>0</v>
      </c>
      <c r="H419" s="26">
        <v>0</v>
      </c>
      <c r="I419" s="22">
        <v>0</v>
      </c>
      <c r="J419" s="22">
        <v>0</v>
      </c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customHeight="1" ht="15">
      <c r="A420"/>
      <c r="B420" s="17" t="s">
        <v>666</v>
      </c>
      <c r="C420" s="18" t="s">
        <v>667</v>
      </c>
      <c r="D420" s="23">
        <v>0</v>
      </c>
      <c r="E420" s="24">
        <v>0</v>
      </c>
      <c r="F420" s="25">
        <v>0</v>
      </c>
      <c r="G420" s="26">
        <v>0</v>
      </c>
      <c r="H420" s="26">
        <v>0</v>
      </c>
      <c r="I420" s="22">
        <v>0</v>
      </c>
      <c r="J420" s="22">
        <v>0</v>
      </c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customHeight="1" ht="15">
      <c r="A421"/>
      <c r="B421" s="17" t="s">
        <v>668</v>
      </c>
      <c r="C421" s="18" t="s">
        <v>669</v>
      </c>
      <c r="D421" s="23">
        <v>0</v>
      </c>
      <c r="E421" s="24">
        <v>0</v>
      </c>
      <c r="F421" s="25">
        <v>0</v>
      </c>
      <c r="G421" s="26">
        <v>0</v>
      </c>
      <c r="H421" s="26">
        <v>0</v>
      </c>
      <c r="I421" s="22">
        <v>0</v>
      </c>
      <c r="J421" s="22">
        <v>0</v>
      </c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customHeight="1" ht="15">
      <c r="A422"/>
      <c r="B422" s="17" t="s">
        <v>670</v>
      </c>
      <c r="C422" s="18" t="s">
        <v>671</v>
      </c>
      <c r="D422" s="23">
        <v>0</v>
      </c>
      <c r="E422" s="24">
        <v>0</v>
      </c>
      <c r="F422" s="25">
        <v>0</v>
      </c>
      <c r="G422" s="26">
        <v>0</v>
      </c>
      <c r="H422" s="26">
        <v>0</v>
      </c>
      <c r="I422" s="22">
        <v>0</v>
      </c>
      <c r="J422" s="22">
        <v>0</v>
      </c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customHeight="1" ht="15">
      <c r="A423"/>
      <c r="B423" s="17" t="s">
        <v>672</v>
      </c>
      <c r="C423" s="18" t="s">
        <v>673</v>
      </c>
      <c r="D423" s="23">
        <v>0</v>
      </c>
      <c r="E423" s="24">
        <v>0</v>
      </c>
      <c r="F423" s="25">
        <v>0</v>
      </c>
      <c r="G423" s="26">
        <v>0</v>
      </c>
      <c r="H423" s="26">
        <v>0</v>
      </c>
      <c r="I423" s="22">
        <v>0</v>
      </c>
      <c r="J423" s="22">
        <v>0</v>
      </c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customHeight="1" ht="15">
      <c r="A424"/>
      <c r="B424" s="17" t="s">
        <v>674</v>
      </c>
      <c r="C424" s="18" t="s">
        <v>675</v>
      </c>
      <c r="D424" s="23">
        <v>0</v>
      </c>
      <c r="E424" s="24">
        <v>0</v>
      </c>
      <c r="F424" s="25">
        <v>0</v>
      </c>
      <c r="G424" s="26">
        <v>0</v>
      </c>
      <c r="H424" s="26">
        <v>0</v>
      </c>
      <c r="I424" s="22">
        <v>0</v>
      </c>
      <c r="J424" s="22">
        <v>0</v>
      </c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customHeight="1" ht="15">
      <c r="A425"/>
      <c r="B425" s="17" t="s">
        <v>676</v>
      </c>
      <c r="C425" s="18" t="s">
        <v>677</v>
      </c>
      <c r="D425" s="23">
        <v>0</v>
      </c>
      <c r="E425" s="24">
        <v>0</v>
      </c>
      <c r="F425" s="25">
        <v>0</v>
      </c>
      <c r="G425" s="26">
        <v>0</v>
      </c>
      <c r="H425" s="26">
        <v>0</v>
      </c>
      <c r="I425" s="22">
        <v>0</v>
      </c>
      <c r="J425" s="22">
        <v>0</v>
      </c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customHeight="1" ht="15">
      <c r="A426"/>
      <c r="B426" s="17" t="s">
        <v>678</v>
      </c>
      <c r="C426" s="18" t="s">
        <v>679</v>
      </c>
      <c r="D426" s="23">
        <v>0</v>
      </c>
      <c r="E426" s="24">
        <v>0</v>
      </c>
      <c r="F426" s="25">
        <v>0</v>
      </c>
      <c r="G426" s="26">
        <v>0</v>
      </c>
      <c r="H426" s="26">
        <v>0</v>
      </c>
      <c r="I426" s="22">
        <v>0</v>
      </c>
      <c r="J426" s="22">
        <v>0</v>
      </c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customHeight="1" ht="15">
      <c r="A427"/>
      <c r="B427" s="17" t="s">
        <v>680</v>
      </c>
      <c r="C427" s="18" t="s">
        <v>681</v>
      </c>
      <c r="D427" s="23">
        <v>0</v>
      </c>
      <c r="E427" s="24">
        <v>0</v>
      </c>
      <c r="F427" s="25">
        <v>0</v>
      </c>
      <c r="G427" s="26">
        <v>0</v>
      </c>
      <c r="H427" s="26">
        <v>0</v>
      </c>
      <c r="I427" s="22">
        <v>0</v>
      </c>
      <c r="J427" s="22">
        <v>0</v>
      </c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customHeight="1" ht="15">
      <c r="A428"/>
      <c r="B428" s="17" t="s">
        <v>682</v>
      </c>
      <c r="C428" s="18" t="s">
        <v>683</v>
      </c>
      <c r="D428" s="23">
        <v>0</v>
      </c>
      <c r="E428" s="24">
        <v>0</v>
      </c>
      <c r="F428" s="25">
        <v>0</v>
      </c>
      <c r="G428" s="26">
        <v>0</v>
      </c>
      <c r="H428" s="26">
        <v>0</v>
      </c>
      <c r="I428" s="22">
        <v>0</v>
      </c>
      <c r="J428" s="22">
        <v>0</v>
      </c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customHeight="1" ht="15">
      <c r="A429"/>
      <c r="B429" s="17" t="s">
        <v>684</v>
      </c>
      <c r="C429" s="18" t="s">
        <v>685</v>
      </c>
      <c r="D429" s="23">
        <v>0</v>
      </c>
      <c r="E429" s="24">
        <v>0</v>
      </c>
      <c r="F429" s="25">
        <v>0</v>
      </c>
      <c r="G429" s="26">
        <v>0</v>
      </c>
      <c r="H429" s="26">
        <v>0</v>
      </c>
      <c r="I429" s="22">
        <v>0</v>
      </c>
      <c r="J429" s="22">
        <v>0</v>
      </c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customHeight="1" ht="15">
      <c r="A430"/>
      <c r="B430" s="17" t="s">
        <v>686</v>
      </c>
      <c r="C430" s="18" t="s">
        <v>687</v>
      </c>
      <c r="D430" s="23">
        <v>0</v>
      </c>
      <c r="E430" s="24">
        <v>0</v>
      </c>
      <c r="F430" s="25">
        <v>0</v>
      </c>
      <c r="G430" s="26">
        <v>0</v>
      </c>
      <c r="H430" s="26">
        <v>0</v>
      </c>
      <c r="I430" s="22">
        <v>0</v>
      </c>
      <c r="J430" s="22">
        <v>0</v>
      </c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customHeight="1" ht="15">
      <c r="A431"/>
      <c r="B431" s="17" t="s">
        <v>688</v>
      </c>
      <c r="C431" s="18" t="s">
        <v>689</v>
      </c>
      <c r="D431" s="23">
        <v>0</v>
      </c>
      <c r="E431" s="24">
        <v>0</v>
      </c>
      <c r="F431" s="25">
        <v>0</v>
      </c>
      <c r="G431" s="26">
        <v>0</v>
      </c>
      <c r="H431" s="26">
        <v>0</v>
      </c>
      <c r="I431" s="22">
        <v>0</v>
      </c>
      <c r="J431" s="22">
        <v>0</v>
      </c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customHeight="1" ht="15">
      <c r="A432"/>
      <c r="B432" s="17" t="s">
        <v>690</v>
      </c>
      <c r="C432" s="18" t="s">
        <v>691</v>
      </c>
      <c r="D432" s="23">
        <v>0</v>
      </c>
      <c r="E432" s="24">
        <v>0</v>
      </c>
      <c r="F432" s="25">
        <v>0</v>
      </c>
      <c r="G432" s="26">
        <v>0</v>
      </c>
      <c r="H432" s="26">
        <v>0</v>
      </c>
      <c r="I432" s="22">
        <v>0</v>
      </c>
      <c r="J432" s="22">
        <v>0</v>
      </c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customHeight="1" ht="15">
      <c r="A433"/>
      <c r="B433" s="17" t="s">
        <v>692</v>
      </c>
      <c r="C433" s="18" t="s">
        <v>693</v>
      </c>
      <c r="D433" s="23">
        <v>0</v>
      </c>
      <c r="E433" s="24">
        <v>0</v>
      </c>
      <c r="F433" s="25">
        <v>0</v>
      </c>
      <c r="G433" s="26">
        <v>0</v>
      </c>
      <c r="H433" s="26">
        <v>0</v>
      </c>
      <c r="I433" s="22">
        <v>0</v>
      </c>
      <c r="J433" s="22">
        <v>0</v>
      </c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customHeight="1" ht="15">
      <c r="A434"/>
      <c r="B434" s="17" t="s">
        <v>92</v>
      </c>
      <c r="C434" s="18" t="s">
        <v>694</v>
      </c>
      <c r="D434" s="23">
        <v>0</v>
      </c>
      <c r="E434" s="24">
        <v>0</v>
      </c>
      <c r="F434" s="25">
        <v>0</v>
      </c>
      <c r="G434" s="26">
        <v>0</v>
      </c>
      <c r="H434" s="26">
        <v>0</v>
      </c>
      <c r="I434" s="22">
        <v>0</v>
      </c>
      <c r="J434" s="22">
        <v>0</v>
      </c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customHeight="1" ht="15">
      <c r="A435"/>
      <c r="B435" s="17" t="s">
        <v>695</v>
      </c>
      <c r="C435" s="18" t="s">
        <v>696</v>
      </c>
      <c r="D435" s="23">
        <v>0</v>
      </c>
      <c r="E435" s="24">
        <v>0</v>
      </c>
      <c r="F435" s="25">
        <v>0</v>
      </c>
      <c r="G435" s="26">
        <v>0</v>
      </c>
      <c r="H435" s="26">
        <v>0</v>
      </c>
      <c r="I435" s="22">
        <v>0</v>
      </c>
      <c r="J435" s="22">
        <v>0</v>
      </c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customHeight="1" ht="15">
      <c r="A436"/>
      <c r="B436" s="17" t="s">
        <v>697</v>
      </c>
      <c r="C436" s="18" t="s">
        <v>698</v>
      </c>
      <c r="D436" s="23">
        <v>0</v>
      </c>
      <c r="E436" s="24">
        <v>0</v>
      </c>
      <c r="F436" s="25">
        <v>0</v>
      </c>
      <c r="G436" s="26">
        <v>0</v>
      </c>
      <c r="H436" s="26">
        <v>0</v>
      </c>
      <c r="I436" s="22">
        <v>0</v>
      </c>
      <c r="J436" s="22">
        <v>0</v>
      </c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customHeight="1" ht="15">
      <c r="A437"/>
      <c r="B437" s="17" t="s">
        <v>94</v>
      </c>
      <c r="C437" s="18" t="s">
        <v>574</v>
      </c>
      <c r="D437" s="23">
        <v>0</v>
      </c>
      <c r="E437" s="24">
        <v>0</v>
      </c>
      <c r="F437" s="25">
        <v>0</v>
      </c>
      <c r="G437" s="26">
        <v>0</v>
      </c>
      <c r="H437" s="26">
        <v>0</v>
      </c>
      <c r="I437" s="22">
        <v>0</v>
      </c>
      <c r="J437" s="22">
        <v>0</v>
      </c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customHeight="1" ht="15">
      <c r="A438"/>
      <c r="B438" s="17" t="s">
        <v>699</v>
      </c>
      <c r="C438" s="18" t="s">
        <v>700</v>
      </c>
      <c r="D438" s="23">
        <v>0</v>
      </c>
      <c r="E438" s="24">
        <v>0</v>
      </c>
      <c r="F438" s="25">
        <v>0</v>
      </c>
      <c r="G438" s="26">
        <v>0</v>
      </c>
      <c r="H438" s="26">
        <v>0</v>
      </c>
      <c r="I438" s="22">
        <v>0</v>
      </c>
      <c r="J438" s="22">
        <v>0</v>
      </c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customHeight="1" ht="15">
      <c r="A439"/>
      <c r="B439" s="17" t="s">
        <v>701</v>
      </c>
      <c r="C439" s="18" t="s">
        <v>702</v>
      </c>
      <c r="D439" s="23">
        <v>0</v>
      </c>
      <c r="E439" s="24">
        <v>0</v>
      </c>
      <c r="F439" s="25">
        <v>0</v>
      </c>
      <c r="G439" s="26">
        <v>0</v>
      </c>
      <c r="H439" s="26">
        <v>0</v>
      </c>
      <c r="I439" s="22">
        <v>0</v>
      </c>
      <c r="J439" s="22">
        <v>0</v>
      </c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customHeight="1" ht="15">
      <c r="A440"/>
      <c r="B440" s="17" t="s">
        <v>703</v>
      </c>
      <c r="C440" s="18" t="s">
        <v>704</v>
      </c>
      <c r="D440" s="23">
        <v>0</v>
      </c>
      <c r="E440" s="24">
        <v>0</v>
      </c>
      <c r="F440" s="25">
        <v>0</v>
      </c>
      <c r="G440" s="26">
        <v>0</v>
      </c>
      <c r="H440" s="26">
        <v>0</v>
      </c>
      <c r="I440" s="22">
        <v>0</v>
      </c>
      <c r="J440" s="22">
        <v>0</v>
      </c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customHeight="1" ht="15">
      <c r="A441"/>
      <c r="B441" s="17" t="s">
        <v>705</v>
      </c>
      <c r="C441" s="18" t="s">
        <v>706</v>
      </c>
      <c r="D441" s="23">
        <v>0</v>
      </c>
      <c r="E441" s="24">
        <v>0</v>
      </c>
      <c r="F441" s="25">
        <v>0</v>
      </c>
      <c r="G441" s="26">
        <v>0</v>
      </c>
      <c r="H441" s="26">
        <v>0</v>
      </c>
      <c r="I441" s="22">
        <v>0</v>
      </c>
      <c r="J441" s="22">
        <v>0</v>
      </c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customHeight="1" ht="15">
      <c r="A442"/>
      <c r="B442" s="17" t="s">
        <v>707</v>
      </c>
      <c r="C442" s="18" t="s">
        <v>708</v>
      </c>
      <c r="D442" s="23">
        <v>0</v>
      </c>
      <c r="E442" s="24">
        <v>0</v>
      </c>
      <c r="F442" s="25">
        <v>0</v>
      </c>
      <c r="G442" s="26">
        <v>0</v>
      </c>
      <c r="H442" s="26">
        <v>0</v>
      </c>
      <c r="I442" s="22">
        <v>0</v>
      </c>
      <c r="J442" s="22">
        <v>0</v>
      </c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customHeight="1" ht="15">
      <c r="A443"/>
      <c r="B443" s="17" t="s">
        <v>709</v>
      </c>
      <c r="C443" s="18" t="s">
        <v>637</v>
      </c>
      <c r="D443" s="23">
        <v>0</v>
      </c>
      <c r="E443" s="24">
        <v>0</v>
      </c>
      <c r="F443" s="25">
        <v>0</v>
      </c>
      <c r="G443" s="26">
        <v>0</v>
      </c>
      <c r="H443" s="26">
        <v>0</v>
      </c>
      <c r="I443" s="22">
        <v>0</v>
      </c>
      <c r="J443" s="22">
        <v>0</v>
      </c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customHeight="1" ht="15">
      <c r="A444"/>
      <c r="B444" s="17" t="s">
        <v>710</v>
      </c>
      <c r="C444" s="18" t="s">
        <v>711</v>
      </c>
      <c r="D444" s="23">
        <v>0</v>
      </c>
      <c r="E444" s="24">
        <v>0</v>
      </c>
      <c r="F444" s="25">
        <v>0</v>
      </c>
      <c r="G444" s="26">
        <v>0</v>
      </c>
      <c r="H444" s="26">
        <v>0</v>
      </c>
      <c r="I444" s="22">
        <v>0</v>
      </c>
      <c r="J444" s="22">
        <v>0</v>
      </c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customHeight="1" ht="15">
      <c r="A445"/>
      <c r="B445" s="17" t="s">
        <v>712</v>
      </c>
      <c r="C445" s="18" t="s">
        <v>713</v>
      </c>
      <c r="D445" s="23">
        <v>0</v>
      </c>
      <c r="E445" s="24">
        <v>0</v>
      </c>
      <c r="F445" s="25">
        <v>0</v>
      </c>
      <c r="G445" s="26">
        <v>0</v>
      </c>
      <c r="H445" s="26">
        <v>0</v>
      </c>
      <c r="I445" s="22">
        <v>0</v>
      </c>
      <c r="J445" s="22">
        <v>0</v>
      </c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customHeight="1" ht="15">
      <c r="A446"/>
      <c r="B446" s="17" t="s">
        <v>714</v>
      </c>
      <c r="C446" s="18" t="s">
        <v>715</v>
      </c>
      <c r="D446" s="23">
        <v>0</v>
      </c>
      <c r="E446" s="24">
        <v>0</v>
      </c>
      <c r="F446" s="25">
        <v>0</v>
      </c>
      <c r="G446" s="26">
        <v>0</v>
      </c>
      <c r="H446" s="26">
        <v>0</v>
      </c>
      <c r="I446" s="22">
        <v>0</v>
      </c>
      <c r="J446" s="22">
        <v>0</v>
      </c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customHeight="1" ht="15">
      <c r="A447"/>
      <c r="B447" s="17" t="s">
        <v>716</v>
      </c>
      <c r="C447" s="18" t="s">
        <v>717</v>
      </c>
      <c r="D447" s="23">
        <v>0</v>
      </c>
      <c r="E447" s="24">
        <v>0</v>
      </c>
      <c r="F447" s="25">
        <v>0</v>
      </c>
      <c r="G447" s="26">
        <v>0</v>
      </c>
      <c r="H447" s="26">
        <v>0</v>
      </c>
      <c r="I447" s="22">
        <v>0</v>
      </c>
      <c r="J447" s="22">
        <v>0</v>
      </c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customHeight="1" ht="15">
      <c r="A448"/>
      <c r="B448" s="17" t="s">
        <v>718</v>
      </c>
      <c r="C448" s="18" t="s">
        <v>719</v>
      </c>
      <c r="D448" s="23">
        <v>0</v>
      </c>
      <c r="E448" s="24">
        <v>0</v>
      </c>
      <c r="F448" s="25">
        <v>0</v>
      </c>
      <c r="G448" s="26">
        <v>0</v>
      </c>
      <c r="H448" s="26">
        <v>0</v>
      </c>
      <c r="I448" s="22">
        <v>0</v>
      </c>
      <c r="J448" s="22">
        <v>0</v>
      </c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customHeight="1" ht="15">
      <c r="A449"/>
      <c r="B449" s="17" t="s">
        <v>720</v>
      </c>
      <c r="C449" s="18" t="s">
        <v>721</v>
      </c>
      <c r="D449" s="23">
        <v>0</v>
      </c>
      <c r="E449" s="24">
        <v>0</v>
      </c>
      <c r="F449" s="25">
        <v>0</v>
      </c>
      <c r="G449" s="26">
        <v>0</v>
      </c>
      <c r="H449" s="26">
        <v>0</v>
      </c>
      <c r="I449" s="22">
        <v>0</v>
      </c>
      <c r="J449" s="22">
        <v>0</v>
      </c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customHeight="1" ht="15">
      <c r="A450"/>
      <c r="B450" s="17" t="s">
        <v>722</v>
      </c>
      <c r="C450" s="18" t="s">
        <v>723</v>
      </c>
      <c r="D450" s="23">
        <v>0</v>
      </c>
      <c r="E450" s="24">
        <v>0</v>
      </c>
      <c r="F450" s="25">
        <v>0</v>
      </c>
      <c r="G450" s="26">
        <v>0</v>
      </c>
      <c r="H450" s="26">
        <v>0</v>
      </c>
      <c r="I450" s="22">
        <v>0</v>
      </c>
      <c r="J450" s="22">
        <v>0</v>
      </c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customHeight="1" ht="15">
      <c r="A451"/>
      <c r="B451" s="17" t="s">
        <v>724</v>
      </c>
      <c r="C451" s="18" t="s">
        <v>725</v>
      </c>
      <c r="D451" s="23">
        <v>0</v>
      </c>
      <c r="E451" s="24">
        <v>0</v>
      </c>
      <c r="F451" s="25">
        <v>0</v>
      </c>
      <c r="G451" s="26">
        <v>0</v>
      </c>
      <c r="H451" s="26">
        <v>0</v>
      </c>
      <c r="I451" s="22">
        <v>0</v>
      </c>
      <c r="J451" s="22">
        <v>0</v>
      </c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customHeight="1" ht="15">
      <c r="A452"/>
      <c r="B452" s="17" t="s">
        <v>726</v>
      </c>
      <c r="C452" s="18" t="s">
        <v>727</v>
      </c>
      <c r="D452" s="23">
        <v>0</v>
      </c>
      <c r="E452" s="24">
        <v>0</v>
      </c>
      <c r="F452" s="25">
        <v>0</v>
      </c>
      <c r="G452" s="26">
        <v>0</v>
      </c>
      <c r="H452" s="26">
        <v>0</v>
      </c>
      <c r="I452" s="22">
        <v>0</v>
      </c>
      <c r="J452" s="22">
        <v>0</v>
      </c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customHeight="1" ht="15">
      <c r="A453"/>
      <c r="B453" s="17" t="s">
        <v>728</v>
      </c>
      <c r="C453" s="18" t="s">
        <v>729</v>
      </c>
      <c r="D453" s="23">
        <v>0</v>
      </c>
      <c r="E453" s="24">
        <v>0</v>
      </c>
      <c r="F453" s="25">
        <v>0</v>
      </c>
      <c r="G453" s="26">
        <v>0</v>
      </c>
      <c r="H453" s="26">
        <v>0</v>
      </c>
      <c r="I453" s="22">
        <v>0</v>
      </c>
      <c r="J453" s="22">
        <v>0</v>
      </c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customHeight="1" ht="15">
      <c r="A454"/>
      <c r="B454" s="17" t="s">
        <v>730</v>
      </c>
      <c r="C454" s="18" t="s">
        <v>731</v>
      </c>
      <c r="D454" s="23">
        <v>0</v>
      </c>
      <c r="E454" s="24">
        <v>0</v>
      </c>
      <c r="F454" s="25">
        <v>0</v>
      </c>
      <c r="G454" s="26">
        <v>0</v>
      </c>
      <c r="H454" s="26">
        <v>0</v>
      </c>
      <c r="I454" s="22">
        <v>0</v>
      </c>
      <c r="J454" s="22">
        <v>0</v>
      </c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customHeight="1" ht="15">
      <c r="A455"/>
      <c r="B455" s="17" t="s">
        <v>732</v>
      </c>
      <c r="C455" s="18" t="s">
        <v>733</v>
      </c>
      <c r="D455" s="23">
        <v>0</v>
      </c>
      <c r="E455" s="24">
        <v>0</v>
      </c>
      <c r="F455" s="25">
        <v>0</v>
      </c>
      <c r="G455" s="26">
        <v>0</v>
      </c>
      <c r="H455" s="26">
        <v>0</v>
      </c>
      <c r="I455" s="22">
        <v>0</v>
      </c>
      <c r="J455" s="22">
        <v>0</v>
      </c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customHeight="1" ht="15">
      <c r="A456"/>
      <c r="B456" s="17" t="s">
        <v>734</v>
      </c>
      <c r="C456" s="18" t="s">
        <v>735</v>
      </c>
      <c r="D456" s="23">
        <v>0</v>
      </c>
      <c r="E456" s="24">
        <v>0</v>
      </c>
      <c r="F456" s="25">
        <v>0</v>
      </c>
      <c r="G456" s="26">
        <v>0</v>
      </c>
      <c r="H456" s="26">
        <v>0</v>
      </c>
      <c r="I456" s="22">
        <v>0</v>
      </c>
      <c r="J456" s="22">
        <v>0</v>
      </c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customHeight="1" ht="15">
      <c r="A457"/>
      <c r="B457" s="17" t="s">
        <v>736</v>
      </c>
      <c r="C457" s="18" t="s">
        <v>737</v>
      </c>
      <c r="D457" s="23">
        <v>0</v>
      </c>
      <c r="E457" s="24">
        <v>0</v>
      </c>
      <c r="F457" s="25">
        <v>0</v>
      </c>
      <c r="G457" s="26">
        <v>0</v>
      </c>
      <c r="H457" s="26">
        <v>0</v>
      </c>
      <c r="I457" s="22">
        <v>0</v>
      </c>
      <c r="J457" s="22">
        <v>0</v>
      </c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customHeight="1" ht="15">
      <c r="A458"/>
      <c r="B458" s="17" t="s">
        <v>738</v>
      </c>
      <c r="C458" s="18" t="s">
        <v>739</v>
      </c>
      <c r="D458" s="23">
        <v>0</v>
      </c>
      <c r="E458" s="24">
        <v>0</v>
      </c>
      <c r="F458" s="25">
        <v>0</v>
      </c>
      <c r="G458" s="26">
        <v>0</v>
      </c>
      <c r="H458" s="26">
        <v>0</v>
      </c>
      <c r="I458" s="22">
        <v>0</v>
      </c>
      <c r="J458" s="22">
        <v>0</v>
      </c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customHeight="1" ht="15">
      <c r="A459"/>
      <c r="B459" s="17" t="s">
        <v>740</v>
      </c>
      <c r="C459" s="18" t="s">
        <v>741</v>
      </c>
      <c r="D459" s="23">
        <v>0</v>
      </c>
      <c r="E459" s="24">
        <v>0</v>
      </c>
      <c r="F459" s="25">
        <v>0</v>
      </c>
      <c r="G459" s="26">
        <v>0</v>
      </c>
      <c r="H459" s="26">
        <v>0</v>
      </c>
      <c r="I459" s="22">
        <v>0</v>
      </c>
      <c r="J459" s="22">
        <v>0</v>
      </c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customHeight="1" ht="15">
      <c r="A460"/>
      <c r="B460" s="17" t="s">
        <v>742</v>
      </c>
      <c r="C460" s="18" t="s">
        <v>743</v>
      </c>
      <c r="D460" s="23">
        <v>0</v>
      </c>
      <c r="E460" s="24">
        <v>0</v>
      </c>
      <c r="F460" s="25">
        <v>0</v>
      </c>
      <c r="G460" s="26">
        <v>0</v>
      </c>
      <c r="H460" s="26">
        <v>0</v>
      </c>
      <c r="I460" s="22">
        <v>0</v>
      </c>
      <c r="J460" s="22">
        <v>0</v>
      </c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customHeight="1" ht="15">
      <c r="A461"/>
      <c r="B461" s="17" t="s">
        <v>744</v>
      </c>
      <c r="C461" s="18" t="s">
        <v>745</v>
      </c>
      <c r="D461" s="23">
        <v>0</v>
      </c>
      <c r="E461" s="24">
        <v>0</v>
      </c>
      <c r="F461" s="25">
        <v>0</v>
      </c>
      <c r="G461" s="26">
        <v>0</v>
      </c>
      <c r="H461" s="26">
        <v>0</v>
      </c>
      <c r="I461" s="22">
        <v>0</v>
      </c>
      <c r="J461" s="22">
        <v>0</v>
      </c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customHeight="1" ht="15">
      <c r="A462"/>
      <c r="B462" s="17" t="s">
        <v>746</v>
      </c>
      <c r="C462" s="18" t="s">
        <v>747</v>
      </c>
      <c r="D462" s="23">
        <v>0</v>
      </c>
      <c r="E462" s="24">
        <v>0</v>
      </c>
      <c r="F462" s="25">
        <v>0</v>
      </c>
      <c r="G462" s="26">
        <v>0</v>
      </c>
      <c r="H462" s="26">
        <v>0</v>
      </c>
      <c r="I462" s="22">
        <v>0</v>
      </c>
      <c r="J462" s="22">
        <v>0</v>
      </c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customHeight="1" ht="15">
      <c r="A463"/>
      <c r="B463" s="17" t="s">
        <v>748</v>
      </c>
      <c r="C463" s="18" t="s">
        <v>749</v>
      </c>
      <c r="D463" s="23">
        <v>0</v>
      </c>
      <c r="E463" s="24">
        <v>0</v>
      </c>
      <c r="F463" s="25">
        <v>0</v>
      </c>
      <c r="G463" s="26">
        <v>0</v>
      </c>
      <c r="H463" s="26">
        <v>0</v>
      </c>
      <c r="I463" s="22">
        <v>0</v>
      </c>
      <c r="J463" s="22">
        <v>0</v>
      </c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customHeight="1" ht="15">
      <c r="A464"/>
      <c r="B464" s="17" t="s">
        <v>750</v>
      </c>
      <c r="C464" s="18" t="s">
        <v>751</v>
      </c>
      <c r="D464" s="23"/>
      <c r="E464" s="24">
        <v>0</v>
      </c>
      <c r="F464" s="25">
        <v>0</v>
      </c>
      <c r="G464" s="26">
        <v>-12</v>
      </c>
      <c r="H464" s="26">
        <f>IF(F464+G464&lt;0, F464+G464, F464+G464)</f>
        <v>-12</v>
      </c>
      <c r="I464" s="22">
        <v>-12</v>
      </c>
      <c r="J464" s="22">
        <v>0</v>
      </c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customHeight="1" ht="15">
      <c r="A465"/>
      <c r="B465" s="17" t="s">
        <v>752</v>
      </c>
      <c r="C465" s="18" t="s">
        <v>753</v>
      </c>
      <c r="D465" s="23">
        <v>0</v>
      </c>
      <c r="E465" s="24">
        <v>0</v>
      </c>
      <c r="F465" s="25">
        <v>0</v>
      </c>
      <c r="G465" s="26">
        <v>0</v>
      </c>
      <c r="H465" s="26">
        <v>0</v>
      </c>
      <c r="I465" s="22">
        <v>0</v>
      </c>
      <c r="J465" s="22">
        <v>0</v>
      </c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customHeight="1" ht="15">
      <c r="A466"/>
      <c r="B466" s="17" t="s">
        <v>754</v>
      </c>
      <c r="C466" s="18" t="s">
        <v>755</v>
      </c>
      <c r="D466" s="23">
        <v>0</v>
      </c>
      <c r="E466" s="24">
        <v>0</v>
      </c>
      <c r="F466" s="25">
        <v>0</v>
      </c>
      <c r="G466" s="26">
        <v>0</v>
      </c>
      <c r="H466" s="26">
        <v>0</v>
      </c>
      <c r="I466" s="22">
        <v>0</v>
      </c>
      <c r="J466" s="22">
        <v>0</v>
      </c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customHeight="1" ht="15">
      <c r="A467"/>
      <c r="B467" s="17" t="s">
        <v>756</v>
      </c>
      <c r="C467" s="18" t="s">
        <v>757</v>
      </c>
      <c r="D467" s="23">
        <v>0</v>
      </c>
      <c r="E467" s="24">
        <v>0</v>
      </c>
      <c r="F467" s="25">
        <v>0</v>
      </c>
      <c r="G467" s="26">
        <v>0</v>
      </c>
      <c r="H467" s="26">
        <v>0</v>
      </c>
      <c r="I467" s="22">
        <v>0</v>
      </c>
      <c r="J467" s="22">
        <v>0</v>
      </c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customHeight="1" ht="15">
      <c r="A468"/>
      <c r="B468" s="17" t="s">
        <v>758</v>
      </c>
      <c r="C468" s="18" t="s">
        <v>759</v>
      </c>
      <c r="D468" s="23">
        <v>0</v>
      </c>
      <c r="E468" s="24">
        <v>0</v>
      </c>
      <c r="F468" s="25">
        <v>0</v>
      </c>
      <c r="G468" s="26">
        <v>0</v>
      </c>
      <c r="H468" s="26">
        <v>0</v>
      </c>
      <c r="I468" s="22">
        <v>0</v>
      </c>
      <c r="J468" s="22">
        <v>0</v>
      </c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customHeight="1" ht="15">
      <c r="A469"/>
      <c r="B469" s="17" t="s">
        <v>760</v>
      </c>
      <c r="C469" s="18" t="s">
        <v>761</v>
      </c>
      <c r="D469" s="23">
        <v>0</v>
      </c>
      <c r="E469" s="24">
        <v>0</v>
      </c>
      <c r="F469" s="25">
        <v>0</v>
      </c>
      <c r="G469" s="26">
        <v>0</v>
      </c>
      <c r="H469" s="26">
        <v>0</v>
      </c>
      <c r="I469" s="22">
        <v>0</v>
      </c>
      <c r="J469" s="22">
        <v>0</v>
      </c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customHeight="1" ht="15">
      <c r="A470"/>
      <c r="B470" s="17" t="s">
        <v>762</v>
      </c>
      <c r="C470" s="18" t="s">
        <v>763</v>
      </c>
      <c r="D470" s="23">
        <v>0</v>
      </c>
      <c r="E470" s="24">
        <v>0</v>
      </c>
      <c r="F470" s="25">
        <v>0</v>
      </c>
      <c r="G470" s="26">
        <v>0</v>
      </c>
      <c r="H470" s="26">
        <v>0</v>
      </c>
      <c r="I470" s="22">
        <v>0</v>
      </c>
      <c r="J470" s="22">
        <v>0</v>
      </c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customHeight="1" ht="15">
      <c r="A471"/>
      <c r="B471" s="17" t="s">
        <v>764</v>
      </c>
      <c r="C471" s="18" t="s">
        <v>765</v>
      </c>
      <c r="D471" s="23">
        <v>0</v>
      </c>
      <c r="E471" s="24">
        <v>0</v>
      </c>
      <c r="F471" s="25">
        <v>0</v>
      </c>
      <c r="G471" s="26">
        <v>0</v>
      </c>
      <c r="H471" s="26">
        <v>0</v>
      </c>
      <c r="I471" s="22">
        <v>0</v>
      </c>
      <c r="J471" s="22">
        <v>0</v>
      </c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customHeight="1" ht="15">
      <c r="A472"/>
      <c r="B472" s="17" t="s">
        <v>766</v>
      </c>
      <c r="C472" s="18" t="s">
        <v>767</v>
      </c>
      <c r="D472" s="23">
        <v>0</v>
      </c>
      <c r="E472" s="24">
        <v>0</v>
      </c>
      <c r="F472" s="25">
        <v>0</v>
      </c>
      <c r="G472" s="26">
        <v>0</v>
      </c>
      <c r="H472" s="26">
        <v>0</v>
      </c>
      <c r="I472" s="22">
        <v>0</v>
      </c>
      <c r="J472" s="22">
        <v>0</v>
      </c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customHeight="1" ht="15">
      <c r="A473"/>
      <c r="B473" s="17" t="s">
        <v>768</v>
      </c>
      <c r="C473" s="18" t="s">
        <v>769</v>
      </c>
      <c r="D473" s="23">
        <v>0</v>
      </c>
      <c r="E473" s="24">
        <v>0</v>
      </c>
      <c r="F473" s="25">
        <v>0</v>
      </c>
      <c r="G473" s="26">
        <v>0</v>
      </c>
      <c r="H473" s="26">
        <v>0</v>
      </c>
      <c r="I473" s="22">
        <v>0</v>
      </c>
      <c r="J473" s="22">
        <v>0</v>
      </c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customHeight="1" ht="15">
      <c r="A474"/>
      <c r="B474" s="17" t="s">
        <v>770</v>
      </c>
      <c r="C474" s="18" t="s">
        <v>771</v>
      </c>
      <c r="D474" s="23">
        <v>0</v>
      </c>
      <c r="E474" s="24">
        <v>0</v>
      </c>
      <c r="F474" s="25">
        <v>0</v>
      </c>
      <c r="G474" s="26">
        <v>0</v>
      </c>
      <c r="H474" s="26">
        <v>0</v>
      </c>
      <c r="I474" s="22">
        <v>0</v>
      </c>
      <c r="J474" s="22">
        <v>0</v>
      </c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customHeight="1" ht="15">
      <c r="A475"/>
      <c r="B475" s="17" t="s">
        <v>772</v>
      </c>
      <c r="C475" s="18" t="s">
        <v>570</v>
      </c>
      <c r="D475" s="23">
        <v>0</v>
      </c>
      <c r="E475" s="24">
        <v>0</v>
      </c>
      <c r="F475" s="25">
        <v>0</v>
      </c>
      <c r="G475" s="26">
        <v>0</v>
      </c>
      <c r="H475" s="26">
        <v>0</v>
      </c>
      <c r="I475" s="22">
        <v>0</v>
      </c>
      <c r="J475" s="22">
        <v>0</v>
      </c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customHeight="1" ht="15">
      <c r="A476"/>
      <c r="B476" s="17" t="s">
        <v>773</v>
      </c>
      <c r="C476" s="18" t="s">
        <v>774</v>
      </c>
      <c r="D476" s="23">
        <v>0</v>
      </c>
      <c r="E476" s="24">
        <v>0</v>
      </c>
      <c r="F476" s="25">
        <v>0</v>
      </c>
      <c r="G476" s="26">
        <v>0</v>
      </c>
      <c r="H476" s="26">
        <v>0</v>
      </c>
      <c r="I476" s="22">
        <v>0</v>
      </c>
      <c r="J476" s="22">
        <v>0</v>
      </c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customHeight="1" ht="15">
      <c r="A477"/>
      <c r="B477" s="17" t="s">
        <v>775</v>
      </c>
      <c r="C477" s="18" t="s">
        <v>776</v>
      </c>
      <c r="D477" s="23">
        <v>0</v>
      </c>
      <c r="E477" s="24">
        <v>0</v>
      </c>
      <c r="F477" s="25">
        <v>0</v>
      </c>
      <c r="G477" s="26">
        <v>0</v>
      </c>
      <c r="H477" s="26">
        <v>0</v>
      </c>
      <c r="I477" s="22">
        <v>0</v>
      </c>
      <c r="J477" s="22">
        <v>0</v>
      </c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customHeight="1" ht="15">
      <c r="A478"/>
      <c r="B478" s="17" t="s">
        <v>777</v>
      </c>
      <c r="C478" s="18" t="s">
        <v>778</v>
      </c>
      <c r="D478" s="23">
        <v>0</v>
      </c>
      <c r="E478" s="24">
        <v>0</v>
      </c>
      <c r="F478" s="25">
        <v>0</v>
      </c>
      <c r="G478" s="26">
        <v>0</v>
      </c>
      <c r="H478" s="26">
        <v>0</v>
      </c>
      <c r="I478" s="22">
        <v>0</v>
      </c>
      <c r="J478" s="22">
        <v>0</v>
      </c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customHeight="1" ht="15">
      <c r="A479"/>
      <c r="B479" s="17" t="s">
        <v>779</v>
      </c>
      <c r="C479" s="18" t="s">
        <v>780</v>
      </c>
      <c r="D479" s="23">
        <v>0</v>
      </c>
      <c r="E479" s="24">
        <v>0</v>
      </c>
      <c r="F479" s="25">
        <v>0</v>
      </c>
      <c r="G479" s="26">
        <v>0</v>
      </c>
      <c r="H479" s="26">
        <v>0</v>
      </c>
      <c r="I479" s="22">
        <v>0</v>
      </c>
      <c r="J479" s="22">
        <v>0</v>
      </c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customHeight="1" ht="15">
      <c r="A480"/>
      <c r="B480" s="17" t="s">
        <v>781</v>
      </c>
      <c r="C480" s="18" t="s">
        <v>782</v>
      </c>
      <c r="D480" s="23">
        <v>0</v>
      </c>
      <c r="E480" s="24">
        <v>0</v>
      </c>
      <c r="F480" s="25">
        <v>0</v>
      </c>
      <c r="G480" s="26">
        <v>0</v>
      </c>
      <c r="H480" s="26">
        <v>0</v>
      </c>
      <c r="I480" s="22">
        <v>0</v>
      </c>
      <c r="J480" s="22">
        <v>0</v>
      </c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customHeight="1" ht="15">
      <c r="A481"/>
      <c r="B481" s="17" t="s">
        <v>783</v>
      </c>
      <c r="C481" s="18" t="s">
        <v>784</v>
      </c>
      <c r="D481" s="23">
        <v>0</v>
      </c>
      <c r="E481" s="24">
        <v>0</v>
      </c>
      <c r="F481" s="25">
        <v>0</v>
      </c>
      <c r="G481" s="26">
        <v>0</v>
      </c>
      <c r="H481" s="26">
        <v>0</v>
      </c>
      <c r="I481" s="22">
        <v>0</v>
      </c>
      <c r="J481" s="22">
        <v>0</v>
      </c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customHeight="1" ht="15">
      <c r="A482"/>
      <c r="B482" s="17" t="s">
        <v>785</v>
      </c>
      <c r="C482" s="18" t="s">
        <v>786</v>
      </c>
      <c r="D482" s="23">
        <v>0</v>
      </c>
      <c r="E482" s="24">
        <v>0</v>
      </c>
      <c r="F482" s="25">
        <v>0</v>
      </c>
      <c r="G482" s="26">
        <v>0</v>
      </c>
      <c r="H482" s="26">
        <v>0</v>
      </c>
      <c r="I482" s="22">
        <v>0</v>
      </c>
      <c r="J482" s="22">
        <v>0</v>
      </c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customHeight="1" ht="15">
      <c r="A483"/>
      <c r="B483" s="17" t="s">
        <v>787</v>
      </c>
      <c r="C483" s="18" t="s">
        <v>788</v>
      </c>
      <c r="D483" s="23">
        <v>0</v>
      </c>
      <c r="E483" s="24">
        <v>0</v>
      </c>
      <c r="F483" s="25">
        <v>0</v>
      </c>
      <c r="G483" s="26">
        <v>0</v>
      </c>
      <c r="H483" s="26">
        <v>0</v>
      </c>
      <c r="I483" s="22">
        <v>0</v>
      </c>
      <c r="J483" s="22">
        <v>0</v>
      </c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customHeight="1" ht="15">
      <c r="A484"/>
      <c r="B484" s="17" t="s">
        <v>789</v>
      </c>
      <c r="C484" s="18" t="s">
        <v>790</v>
      </c>
      <c r="D484" s="23">
        <v>0</v>
      </c>
      <c r="E484" s="24">
        <v>0</v>
      </c>
      <c r="F484" s="25">
        <v>0</v>
      </c>
      <c r="G484" s="26">
        <v>0</v>
      </c>
      <c r="H484" s="26">
        <v>0</v>
      </c>
      <c r="I484" s="22">
        <v>0</v>
      </c>
      <c r="J484" s="22">
        <v>0</v>
      </c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customHeight="1" ht="15">
      <c r="A485"/>
      <c r="B485" s="17" t="s">
        <v>791</v>
      </c>
      <c r="C485" s="18" t="s">
        <v>792</v>
      </c>
      <c r="D485" s="23">
        <v>0</v>
      </c>
      <c r="E485" s="24">
        <v>0</v>
      </c>
      <c r="F485" s="25">
        <v>0</v>
      </c>
      <c r="G485" s="26">
        <v>0</v>
      </c>
      <c r="H485" s="26">
        <v>0</v>
      </c>
      <c r="I485" s="22">
        <v>0</v>
      </c>
      <c r="J485" s="22">
        <v>0</v>
      </c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customHeight="1" ht="15">
      <c r="A486"/>
      <c r="B486" s="17" t="s">
        <v>793</v>
      </c>
      <c r="C486" s="18" t="s">
        <v>794</v>
      </c>
      <c r="D486" s="23">
        <v>0</v>
      </c>
      <c r="E486" s="24">
        <v>0</v>
      </c>
      <c r="F486" s="25">
        <v>0</v>
      </c>
      <c r="G486" s="26">
        <v>0</v>
      </c>
      <c r="H486" s="26">
        <v>0</v>
      </c>
      <c r="I486" s="22">
        <v>0</v>
      </c>
      <c r="J486" s="22">
        <v>0</v>
      </c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customHeight="1" ht="15">
      <c r="A487"/>
      <c r="B487" s="17" t="s">
        <v>795</v>
      </c>
      <c r="C487" s="18" t="s">
        <v>796</v>
      </c>
      <c r="D487" s="23">
        <v>0</v>
      </c>
      <c r="E487" s="24">
        <v>0</v>
      </c>
      <c r="F487" s="25">
        <v>0</v>
      </c>
      <c r="G487" s="26">
        <v>0</v>
      </c>
      <c r="H487" s="26">
        <v>0</v>
      </c>
      <c r="I487" s="22">
        <v>0</v>
      </c>
      <c r="J487" s="22">
        <v>0</v>
      </c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customHeight="1" ht="15">
      <c r="A488"/>
      <c r="B488" s="17" t="s">
        <v>797</v>
      </c>
      <c r="C488" s="18" t="s">
        <v>798</v>
      </c>
      <c r="D488" s="23">
        <v>0</v>
      </c>
      <c r="E488" s="24">
        <v>0</v>
      </c>
      <c r="F488" s="25">
        <v>0</v>
      </c>
      <c r="G488" s="26">
        <v>0</v>
      </c>
      <c r="H488" s="26">
        <v>0</v>
      </c>
      <c r="I488" s="22">
        <v>0</v>
      </c>
      <c r="J488" s="22">
        <v>0</v>
      </c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customHeight="1" ht="15">
      <c r="A489"/>
      <c r="B489" s="17" t="s">
        <v>799</v>
      </c>
      <c r="C489" s="18" t="s">
        <v>800</v>
      </c>
      <c r="D489" s="23">
        <v>0</v>
      </c>
      <c r="E489" s="24">
        <v>0</v>
      </c>
      <c r="F489" s="25">
        <v>0</v>
      </c>
      <c r="G489" s="26">
        <v>0</v>
      </c>
      <c r="H489" s="26">
        <v>0</v>
      </c>
      <c r="I489" s="22">
        <v>0</v>
      </c>
      <c r="J489" s="22">
        <v>0</v>
      </c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customHeight="1" ht="15">
      <c r="A490"/>
      <c r="B490" s="17" t="s">
        <v>801</v>
      </c>
      <c r="C490" s="18" t="s">
        <v>802</v>
      </c>
      <c r="D490" s="23">
        <v>0</v>
      </c>
      <c r="E490" s="24">
        <v>0</v>
      </c>
      <c r="F490" s="25">
        <v>0</v>
      </c>
      <c r="G490" s="26">
        <v>0</v>
      </c>
      <c r="H490" s="26">
        <v>0</v>
      </c>
      <c r="I490" s="22">
        <v>0</v>
      </c>
      <c r="J490" s="22">
        <v>0</v>
      </c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customHeight="1" ht="15">
      <c r="A491"/>
      <c r="B491" s="17" t="s">
        <v>803</v>
      </c>
      <c r="C491" s="18" t="s">
        <v>804</v>
      </c>
      <c r="D491" s="23">
        <v>0</v>
      </c>
      <c r="E491" s="24">
        <v>0</v>
      </c>
      <c r="F491" s="25">
        <v>0</v>
      </c>
      <c r="G491" s="26">
        <v>0</v>
      </c>
      <c r="H491" s="26">
        <v>0</v>
      </c>
      <c r="I491" s="22">
        <v>0</v>
      </c>
      <c r="J491" s="22">
        <v>0</v>
      </c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customHeight="1" ht="15">
      <c r="A492"/>
      <c r="B492" s="17" t="s">
        <v>805</v>
      </c>
      <c r="C492" s="18" t="s">
        <v>806</v>
      </c>
      <c r="D492" s="23">
        <v>0</v>
      </c>
      <c r="E492" s="24">
        <v>0</v>
      </c>
      <c r="F492" s="25">
        <v>0</v>
      </c>
      <c r="G492" s="26">
        <v>0</v>
      </c>
      <c r="H492" s="26">
        <v>0</v>
      </c>
      <c r="I492" s="22">
        <v>0</v>
      </c>
      <c r="J492" s="22">
        <v>0</v>
      </c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customHeight="1" ht="15">
      <c r="A493"/>
      <c r="B493" s="17" t="s">
        <v>807</v>
      </c>
      <c r="C493" s="18" t="s">
        <v>808</v>
      </c>
      <c r="D493" s="23">
        <v>0</v>
      </c>
      <c r="E493" s="24">
        <v>0</v>
      </c>
      <c r="F493" s="25">
        <v>0</v>
      </c>
      <c r="G493" s="26">
        <v>0</v>
      </c>
      <c r="H493" s="26">
        <v>0</v>
      </c>
      <c r="I493" s="22">
        <v>0</v>
      </c>
      <c r="J493" s="22">
        <v>0</v>
      </c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customHeight="1" ht="15">
      <c r="A494"/>
      <c r="B494" s="17" t="s">
        <v>809</v>
      </c>
      <c r="C494" s="18" t="s">
        <v>810</v>
      </c>
      <c r="D494" s="23">
        <v>0</v>
      </c>
      <c r="E494" s="24">
        <v>0</v>
      </c>
      <c r="F494" s="25">
        <v>0</v>
      </c>
      <c r="G494" s="26">
        <v>0</v>
      </c>
      <c r="H494" s="26">
        <v>0</v>
      </c>
      <c r="I494" s="22">
        <v>0</v>
      </c>
      <c r="J494" s="22">
        <v>0</v>
      </c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customHeight="1" ht="15">
      <c r="A495"/>
      <c r="B495" s="17" t="s">
        <v>811</v>
      </c>
      <c r="C495" s="18" t="s">
        <v>812</v>
      </c>
      <c r="D495" s="23">
        <v>0</v>
      </c>
      <c r="E495" s="24">
        <v>0</v>
      </c>
      <c r="F495" s="25">
        <v>0</v>
      </c>
      <c r="G495" s="26">
        <v>0</v>
      </c>
      <c r="H495" s="26">
        <v>0</v>
      </c>
      <c r="I495" s="22">
        <v>0</v>
      </c>
      <c r="J495" s="22">
        <v>0</v>
      </c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</row>
    <row r="496" spans="1:35" customHeight="1" ht="15">
      <c r="A496"/>
      <c r="B496" s="17" t="s">
        <v>813</v>
      </c>
      <c r="C496" s="18" t="s">
        <v>814</v>
      </c>
      <c r="D496" s="23">
        <v>0</v>
      </c>
      <c r="E496" s="24">
        <v>0</v>
      </c>
      <c r="F496" s="25">
        <v>0</v>
      </c>
      <c r="G496" s="26">
        <v>0</v>
      </c>
      <c r="H496" s="26">
        <v>0</v>
      </c>
      <c r="I496" s="22">
        <v>0</v>
      </c>
      <c r="J496" s="22">
        <v>0</v>
      </c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</row>
    <row r="497" spans="1:35" customHeight="1" ht="15">
      <c r="A497"/>
      <c r="B497" s="17" t="s">
        <v>815</v>
      </c>
      <c r="C497" s="18" t="s">
        <v>816</v>
      </c>
      <c r="D497" s="23">
        <v>0</v>
      </c>
      <c r="E497" s="24">
        <v>0</v>
      </c>
      <c r="F497" s="25">
        <v>0</v>
      </c>
      <c r="G497" s="26">
        <v>0</v>
      </c>
      <c r="H497" s="26">
        <v>0</v>
      </c>
      <c r="I497" s="22">
        <v>0</v>
      </c>
      <c r="J497" s="22">
        <v>0</v>
      </c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</row>
    <row r="498" spans="1:35" customHeight="1" ht="15">
      <c r="A498"/>
      <c r="B498" s="17" t="s">
        <v>817</v>
      </c>
      <c r="C498" s="18" t="s">
        <v>818</v>
      </c>
      <c r="D498" s="23">
        <v>0</v>
      </c>
      <c r="E498" s="24">
        <v>0</v>
      </c>
      <c r="F498" s="25">
        <v>0</v>
      </c>
      <c r="G498" s="26">
        <v>0</v>
      </c>
      <c r="H498" s="26">
        <v>0</v>
      </c>
      <c r="I498" s="22">
        <v>0</v>
      </c>
      <c r="J498" s="22">
        <v>0</v>
      </c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</row>
    <row r="499" spans="1:35" customHeight="1" ht="15">
      <c r="A499"/>
      <c r="B499" s="17" t="s">
        <v>819</v>
      </c>
      <c r="C499" s="18" t="s">
        <v>820</v>
      </c>
      <c r="D499" s="23">
        <v>0</v>
      </c>
      <c r="E499" s="24">
        <v>0</v>
      </c>
      <c r="F499" s="25">
        <v>0</v>
      </c>
      <c r="G499" s="26">
        <v>0</v>
      </c>
      <c r="H499" s="26">
        <v>0</v>
      </c>
      <c r="I499" s="22">
        <v>0</v>
      </c>
      <c r="J499" s="22">
        <v>0</v>
      </c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</row>
    <row r="500" spans="1:35" customHeight="1" ht="15">
      <c r="A500"/>
      <c r="B500" s="17" t="s">
        <v>821</v>
      </c>
      <c r="C500" s="18" t="s">
        <v>822</v>
      </c>
      <c r="D500" s="23">
        <v>0</v>
      </c>
      <c r="E500" s="24">
        <v>0</v>
      </c>
      <c r="F500" s="25">
        <v>0</v>
      </c>
      <c r="G500" s="26">
        <v>0</v>
      </c>
      <c r="H500" s="26">
        <v>0</v>
      </c>
      <c r="I500" s="22">
        <v>0</v>
      </c>
      <c r="J500" s="22">
        <v>0</v>
      </c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</row>
    <row r="501" spans="1:35" customHeight="1" ht="15">
      <c r="A501"/>
      <c r="B501" s="17" t="s">
        <v>823</v>
      </c>
      <c r="C501" s="18" t="s">
        <v>824</v>
      </c>
      <c r="D501" s="23">
        <v>0</v>
      </c>
      <c r="E501" s="24">
        <v>0</v>
      </c>
      <c r="F501" s="25">
        <v>0</v>
      </c>
      <c r="G501" s="26">
        <v>0</v>
      </c>
      <c r="H501" s="26">
        <v>0</v>
      </c>
      <c r="I501" s="22">
        <v>0</v>
      </c>
      <c r="J501" s="22">
        <v>0</v>
      </c>
      <c r="K501"/>
      <c r="L501"/>
      <c r="M501"/>
      <c r="N501"/>
      <c r="O501"/>
      <c r="P501"/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</row>
    <row r="502" spans="1:35" customHeight="1" ht="15">
      <c r="A502"/>
      <c r="B502" s="17" t="s">
        <v>825</v>
      </c>
      <c r="C502" s="18" t="s">
        <v>826</v>
      </c>
      <c r="D502" s="23">
        <v>0</v>
      </c>
      <c r="E502" s="24">
        <v>0</v>
      </c>
      <c r="F502" s="25">
        <v>0</v>
      </c>
      <c r="G502" s="26">
        <v>0</v>
      </c>
      <c r="H502" s="26">
        <v>0</v>
      </c>
      <c r="I502" s="22">
        <v>0</v>
      </c>
      <c r="J502" s="22">
        <v>0</v>
      </c>
      <c r="K502"/>
      <c r="L502"/>
      <c r="M502"/>
      <c r="N502"/>
      <c r="O502"/>
      <c r="P502"/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</row>
    <row r="503" spans="1:35" customHeight="1" ht="15">
      <c r="A503"/>
      <c r="B503" s="17" t="s">
        <v>827</v>
      </c>
      <c r="C503" s="18" t="s">
        <v>698</v>
      </c>
      <c r="D503" s="23">
        <v>0</v>
      </c>
      <c r="E503" s="24">
        <v>0</v>
      </c>
      <c r="F503" s="25">
        <v>0</v>
      </c>
      <c r="G503" s="26">
        <v>0</v>
      </c>
      <c r="H503" s="26">
        <v>0</v>
      </c>
      <c r="I503" s="22">
        <v>0</v>
      </c>
      <c r="J503" s="22">
        <v>0</v>
      </c>
      <c r="K503"/>
      <c r="L503"/>
      <c r="M503"/>
      <c r="N503"/>
      <c r="O503"/>
      <c r="P503"/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</row>
    <row r="504" spans="1:35" customHeight="1" ht="15">
      <c r="A504"/>
      <c r="B504" s="17" t="s">
        <v>828</v>
      </c>
      <c r="C504" s="18" t="s">
        <v>829</v>
      </c>
      <c r="D504" s="23">
        <v>0</v>
      </c>
      <c r="E504" s="24">
        <v>0</v>
      </c>
      <c r="F504" s="25">
        <v>0</v>
      </c>
      <c r="G504" s="26">
        <v>0</v>
      </c>
      <c r="H504" s="26">
        <v>0</v>
      </c>
      <c r="I504" s="22">
        <v>0</v>
      </c>
      <c r="J504" s="22">
        <v>0</v>
      </c>
      <c r="K504"/>
      <c r="L504"/>
      <c r="M504"/>
      <c r="N504"/>
      <c r="O504"/>
      <c r="P504"/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</row>
    <row r="505" spans="1:35" customHeight="1" ht="15">
      <c r="A505"/>
      <c r="B505" s="17" t="s">
        <v>830</v>
      </c>
      <c r="C505" s="18" t="s">
        <v>831</v>
      </c>
      <c r="D505" s="23">
        <v>0</v>
      </c>
      <c r="E505" s="24">
        <v>0</v>
      </c>
      <c r="F505" s="25">
        <v>0</v>
      </c>
      <c r="G505" s="26">
        <v>0</v>
      </c>
      <c r="H505" s="26">
        <v>0</v>
      </c>
      <c r="I505" s="22">
        <v>0</v>
      </c>
      <c r="J505" s="22">
        <v>0</v>
      </c>
      <c r="K505"/>
      <c r="L505"/>
      <c r="M505"/>
      <c r="N505"/>
      <c r="O505"/>
      <c r="P505"/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</row>
    <row r="506" spans="1:35" customHeight="1" ht="15">
      <c r="A506"/>
      <c r="B506" s="17" t="s">
        <v>832</v>
      </c>
      <c r="C506" s="18" t="s">
        <v>833</v>
      </c>
      <c r="D506" s="23">
        <v>0</v>
      </c>
      <c r="E506" s="24">
        <v>0</v>
      </c>
      <c r="F506" s="25">
        <v>0</v>
      </c>
      <c r="G506" s="26">
        <v>0</v>
      </c>
      <c r="H506" s="26">
        <v>0</v>
      </c>
      <c r="I506" s="22">
        <v>0</v>
      </c>
      <c r="J506" s="22">
        <v>0</v>
      </c>
      <c r="K506"/>
      <c r="L506"/>
      <c r="M506"/>
      <c r="N506"/>
      <c r="O506"/>
      <c r="P506"/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</row>
    <row r="507" spans="1:35" customHeight="1" ht="15">
      <c r="A507"/>
      <c r="B507" s="17" t="s">
        <v>834</v>
      </c>
      <c r="C507" s="18" t="s">
        <v>835</v>
      </c>
      <c r="D507" s="23">
        <v>0</v>
      </c>
      <c r="E507" s="24">
        <v>0</v>
      </c>
      <c r="F507" s="25">
        <v>0</v>
      </c>
      <c r="G507" s="26">
        <v>0</v>
      </c>
      <c r="H507" s="26">
        <v>0</v>
      </c>
      <c r="I507" s="22">
        <v>0</v>
      </c>
      <c r="J507" s="22">
        <v>0</v>
      </c>
      <c r="K507"/>
      <c r="L507"/>
      <c r="M507"/>
      <c r="N507"/>
      <c r="O507"/>
      <c r="P507"/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</row>
    <row r="508" spans="1:35" customHeight="1" ht="15">
      <c r="A508"/>
      <c r="B508" s="17" t="s">
        <v>836</v>
      </c>
      <c r="C508" s="18" t="s">
        <v>837</v>
      </c>
      <c r="D508" s="23">
        <v>0</v>
      </c>
      <c r="E508" s="24">
        <v>0</v>
      </c>
      <c r="F508" s="25">
        <v>0</v>
      </c>
      <c r="G508" s="26">
        <v>0</v>
      </c>
      <c r="H508" s="26">
        <v>0</v>
      </c>
      <c r="I508" s="22">
        <v>0</v>
      </c>
      <c r="J508" s="22">
        <v>0</v>
      </c>
      <c r="K508"/>
      <c r="L508"/>
      <c r="M508"/>
      <c r="N508"/>
      <c r="O508"/>
      <c r="P508"/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</row>
    <row r="509" spans="1:35" customHeight="1" ht="15">
      <c r="A509"/>
      <c r="B509" s="17" t="s">
        <v>838</v>
      </c>
      <c r="C509" s="18" t="s">
        <v>839</v>
      </c>
      <c r="D509" s="23">
        <v>0</v>
      </c>
      <c r="E509" s="24">
        <v>0</v>
      </c>
      <c r="F509" s="25">
        <v>0</v>
      </c>
      <c r="G509" s="26">
        <v>0</v>
      </c>
      <c r="H509" s="26">
        <v>0</v>
      </c>
      <c r="I509" s="22">
        <v>0</v>
      </c>
      <c r="J509" s="22">
        <v>0</v>
      </c>
      <c r="K509"/>
      <c r="L509"/>
      <c r="M509"/>
      <c r="N509"/>
      <c r="O509"/>
      <c r="P509"/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</row>
    <row r="510" spans="1:35" customHeight="1" ht="15">
      <c r="A510"/>
      <c r="B510" s="17" t="s">
        <v>840</v>
      </c>
      <c r="C510" s="18" t="s">
        <v>841</v>
      </c>
      <c r="D510" s="23">
        <v>0</v>
      </c>
      <c r="E510" s="24">
        <v>0</v>
      </c>
      <c r="F510" s="25">
        <v>0</v>
      </c>
      <c r="G510" s="26">
        <v>0</v>
      </c>
      <c r="H510" s="26">
        <v>0</v>
      </c>
      <c r="I510" s="22">
        <v>0</v>
      </c>
      <c r="J510" s="22">
        <v>0</v>
      </c>
      <c r="K510"/>
      <c r="L510"/>
      <c r="M510"/>
      <c r="N510"/>
      <c r="O510"/>
      <c r="P510"/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</row>
    <row r="511" spans="1:35" customHeight="1" ht="15">
      <c r="A511"/>
      <c r="B511" s="17" t="s">
        <v>842</v>
      </c>
      <c r="C511" s="18" t="s">
        <v>843</v>
      </c>
      <c r="D511" s="23">
        <v>0</v>
      </c>
      <c r="E511" s="24">
        <v>0</v>
      </c>
      <c r="F511" s="25">
        <v>0</v>
      </c>
      <c r="G511" s="26">
        <v>0</v>
      </c>
      <c r="H511" s="26">
        <v>0</v>
      </c>
      <c r="I511" s="22">
        <v>0</v>
      </c>
      <c r="J511" s="22">
        <v>0</v>
      </c>
      <c r="K511"/>
      <c r="L511"/>
      <c r="M511"/>
      <c r="N511"/>
      <c r="O511"/>
      <c r="P511"/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</row>
    <row r="512" spans="1:35" customHeight="1" ht="15">
      <c r="A512"/>
      <c r="B512" s="17" t="s">
        <v>844</v>
      </c>
      <c r="C512" s="18" t="s">
        <v>845</v>
      </c>
      <c r="D512" s="23">
        <v>0</v>
      </c>
      <c r="E512" s="24">
        <v>0</v>
      </c>
      <c r="F512" s="25">
        <v>0</v>
      </c>
      <c r="G512" s="26">
        <v>0</v>
      </c>
      <c r="H512" s="26">
        <v>0</v>
      </c>
      <c r="I512" s="22">
        <v>0</v>
      </c>
      <c r="J512" s="22">
        <v>0</v>
      </c>
      <c r="K512"/>
      <c r="L512"/>
      <c r="M512"/>
      <c r="N512"/>
      <c r="O512"/>
      <c r="P512"/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</row>
    <row r="513" spans="1:35" customHeight="1" ht="15">
      <c r="A513"/>
      <c r="B513" s="17" t="s">
        <v>846</v>
      </c>
      <c r="C513" s="18" t="s">
        <v>847</v>
      </c>
      <c r="D513" s="23">
        <v>0</v>
      </c>
      <c r="E513" s="24">
        <v>0</v>
      </c>
      <c r="F513" s="25">
        <v>0</v>
      </c>
      <c r="G513" s="26">
        <v>0</v>
      </c>
      <c r="H513" s="26">
        <v>0</v>
      </c>
      <c r="I513" s="22">
        <v>0</v>
      </c>
      <c r="J513" s="22">
        <v>0</v>
      </c>
      <c r="K513"/>
      <c r="L513"/>
      <c r="M513"/>
      <c r="N513"/>
      <c r="O513"/>
      <c r="P513"/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</row>
    <row r="514" spans="1:35" customHeight="1" ht="15">
      <c r="A514"/>
      <c r="B514" s="17" t="s">
        <v>848</v>
      </c>
      <c r="C514" s="18" t="s">
        <v>849</v>
      </c>
      <c r="D514" s="23">
        <v>0</v>
      </c>
      <c r="E514" s="24">
        <v>0</v>
      </c>
      <c r="F514" s="25">
        <v>0</v>
      </c>
      <c r="G514" s="26">
        <v>0</v>
      </c>
      <c r="H514" s="26">
        <v>0</v>
      </c>
      <c r="I514" s="22">
        <v>0</v>
      </c>
      <c r="J514" s="22">
        <v>0</v>
      </c>
      <c r="K514"/>
      <c r="L514"/>
      <c r="M514"/>
      <c r="N514"/>
      <c r="O514"/>
      <c r="P514"/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</row>
    <row r="515" spans="1:35" customHeight="1" ht="15">
      <c r="A515"/>
      <c r="B515" s="17" t="s">
        <v>850</v>
      </c>
      <c r="C515" s="18" t="s">
        <v>851</v>
      </c>
      <c r="D515" s="23">
        <v>0</v>
      </c>
      <c r="E515" s="24">
        <v>0</v>
      </c>
      <c r="F515" s="25">
        <v>0</v>
      </c>
      <c r="G515" s="26">
        <v>0</v>
      </c>
      <c r="H515" s="26">
        <v>0</v>
      </c>
      <c r="I515" s="22">
        <v>0</v>
      </c>
      <c r="J515" s="22">
        <v>0</v>
      </c>
      <c r="K515"/>
      <c r="L515"/>
      <c r="M515"/>
      <c r="N515"/>
      <c r="O515"/>
      <c r="P515"/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</row>
    <row r="516" spans="1:35" customHeight="1" ht="15">
      <c r="A516"/>
      <c r="B516" s="17" t="s">
        <v>852</v>
      </c>
      <c r="C516" s="18" t="s">
        <v>853</v>
      </c>
      <c r="D516" s="23">
        <v>0</v>
      </c>
      <c r="E516" s="24">
        <v>0</v>
      </c>
      <c r="F516" s="25">
        <v>0</v>
      </c>
      <c r="G516" s="26">
        <v>0</v>
      </c>
      <c r="H516" s="26">
        <v>0</v>
      </c>
      <c r="I516" s="22">
        <v>0</v>
      </c>
      <c r="J516" s="22">
        <v>0</v>
      </c>
      <c r="K516"/>
      <c r="L516"/>
      <c r="M516"/>
      <c r="N516"/>
      <c r="O516"/>
      <c r="P516"/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</row>
    <row r="517" spans="1:35" customHeight="1" ht="15">
      <c r="A517"/>
      <c r="B517" s="17" t="s">
        <v>854</v>
      </c>
      <c r="C517" s="18" t="s">
        <v>855</v>
      </c>
      <c r="D517" s="23">
        <v>0</v>
      </c>
      <c r="E517" s="24">
        <v>0</v>
      </c>
      <c r="F517" s="25">
        <v>0</v>
      </c>
      <c r="G517" s="26">
        <v>0</v>
      </c>
      <c r="H517" s="26">
        <v>0</v>
      </c>
      <c r="I517" s="22">
        <v>0</v>
      </c>
      <c r="J517" s="22">
        <v>0</v>
      </c>
      <c r="K517"/>
      <c r="L517"/>
      <c r="M517"/>
      <c r="N517"/>
      <c r="O517"/>
      <c r="P517"/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</row>
    <row r="518" spans="1:35" customHeight="1" ht="15">
      <c r="A518"/>
      <c r="B518" s="17" t="s">
        <v>856</v>
      </c>
      <c r="C518" s="18" t="s">
        <v>857</v>
      </c>
      <c r="D518" s="23">
        <v>0</v>
      </c>
      <c r="E518" s="24">
        <v>0</v>
      </c>
      <c r="F518" s="25">
        <v>0</v>
      </c>
      <c r="G518" s="26">
        <v>0</v>
      </c>
      <c r="H518" s="26">
        <v>0</v>
      </c>
      <c r="I518" s="22">
        <v>0</v>
      </c>
      <c r="J518" s="22">
        <v>0</v>
      </c>
      <c r="K518"/>
      <c r="L518"/>
      <c r="M518"/>
      <c r="N518"/>
      <c r="O518"/>
      <c r="P518"/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</row>
    <row r="519" spans="1:35" customHeight="1" ht="15">
      <c r="A519"/>
      <c r="B519" s="17" t="s">
        <v>858</v>
      </c>
      <c r="C519" s="18" t="s">
        <v>859</v>
      </c>
      <c r="D519" s="23">
        <v>0</v>
      </c>
      <c r="E519" s="24">
        <v>0</v>
      </c>
      <c r="F519" s="25">
        <v>0</v>
      </c>
      <c r="G519" s="26">
        <v>0</v>
      </c>
      <c r="H519" s="26">
        <v>0</v>
      </c>
      <c r="I519" s="22">
        <v>0</v>
      </c>
      <c r="J519" s="22">
        <v>0</v>
      </c>
      <c r="K519"/>
      <c r="L519"/>
      <c r="M519"/>
      <c r="N519"/>
      <c r="O519"/>
      <c r="P519"/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</row>
    <row r="520" spans="1:35" customHeight="1" ht="15">
      <c r="A520"/>
      <c r="B520" s="17" t="s">
        <v>860</v>
      </c>
      <c r="C520" s="18" t="s">
        <v>861</v>
      </c>
      <c r="D520" s="23">
        <v>0</v>
      </c>
      <c r="E520" s="24">
        <v>0</v>
      </c>
      <c r="F520" s="25">
        <v>0</v>
      </c>
      <c r="G520" s="26">
        <v>0</v>
      </c>
      <c r="H520" s="26">
        <v>0</v>
      </c>
      <c r="I520" s="22">
        <v>0</v>
      </c>
      <c r="J520" s="22">
        <v>0</v>
      </c>
      <c r="K520"/>
      <c r="L520"/>
      <c r="M520"/>
      <c r="N520"/>
      <c r="O520"/>
      <c r="P520"/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</row>
    <row r="521" spans="1:35" customHeight="1" ht="15">
      <c r="A521"/>
      <c r="B521" s="17" t="s">
        <v>862</v>
      </c>
      <c r="C521" s="18" t="s">
        <v>863</v>
      </c>
      <c r="D521" s="23">
        <v>0</v>
      </c>
      <c r="E521" s="24">
        <v>0</v>
      </c>
      <c r="F521" s="25">
        <v>0</v>
      </c>
      <c r="G521" s="26">
        <v>0</v>
      </c>
      <c r="H521" s="26">
        <v>0</v>
      </c>
      <c r="I521" s="22">
        <v>0</v>
      </c>
      <c r="J521" s="22">
        <v>0</v>
      </c>
      <c r="K521"/>
      <c r="L521"/>
      <c r="M521"/>
      <c r="N521"/>
      <c r="O521"/>
      <c r="P521"/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</row>
    <row r="522" spans="1:35" customHeight="1" ht="15">
      <c r="A522"/>
      <c r="B522" s="17" t="s">
        <v>864</v>
      </c>
      <c r="C522" s="18" t="s">
        <v>865</v>
      </c>
      <c r="D522" s="23">
        <v>0</v>
      </c>
      <c r="E522" s="24">
        <v>0</v>
      </c>
      <c r="F522" s="25">
        <v>0</v>
      </c>
      <c r="G522" s="26">
        <v>0</v>
      </c>
      <c r="H522" s="26">
        <v>0</v>
      </c>
      <c r="I522" s="22">
        <v>0</v>
      </c>
      <c r="J522" s="22">
        <v>0</v>
      </c>
      <c r="K522"/>
      <c r="L522"/>
      <c r="M522"/>
      <c r="N522"/>
      <c r="O522"/>
      <c r="P522"/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</row>
    <row r="523" spans="1:35" customHeight="1" ht="15">
      <c r="A523"/>
      <c r="B523" s="17" t="s">
        <v>866</v>
      </c>
      <c r="C523" s="18" t="s">
        <v>867</v>
      </c>
      <c r="D523" s="23">
        <v>0</v>
      </c>
      <c r="E523" s="24">
        <v>0</v>
      </c>
      <c r="F523" s="25">
        <v>0</v>
      </c>
      <c r="G523" s="26">
        <v>0</v>
      </c>
      <c r="H523" s="26">
        <v>0</v>
      </c>
      <c r="I523" s="22">
        <v>0</v>
      </c>
      <c r="J523" s="22">
        <v>0</v>
      </c>
      <c r="K523"/>
      <c r="L523"/>
      <c r="M523"/>
      <c r="N523"/>
      <c r="O523"/>
      <c r="P523"/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</row>
    <row r="524" spans="1:35" customHeight="1" ht="15">
      <c r="A524"/>
      <c r="B524" s="17" t="s">
        <v>868</v>
      </c>
      <c r="C524" s="18" t="s">
        <v>869</v>
      </c>
      <c r="D524" s="23">
        <v>0</v>
      </c>
      <c r="E524" s="24">
        <v>0</v>
      </c>
      <c r="F524" s="25">
        <v>0</v>
      </c>
      <c r="G524" s="26">
        <v>0</v>
      </c>
      <c r="H524" s="26">
        <v>0</v>
      </c>
      <c r="I524" s="22">
        <v>0</v>
      </c>
      <c r="J524" s="22">
        <v>0</v>
      </c>
      <c r="K524"/>
      <c r="L524"/>
      <c r="M524"/>
      <c r="N524"/>
      <c r="O524"/>
      <c r="P524"/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</row>
    <row r="525" spans="1:35" customHeight="1" ht="15">
      <c r="A525"/>
      <c r="B525" s="17" t="s">
        <v>870</v>
      </c>
      <c r="C525" s="18" t="s">
        <v>871</v>
      </c>
      <c r="D525" s="23">
        <v>0</v>
      </c>
      <c r="E525" s="24">
        <v>0</v>
      </c>
      <c r="F525" s="25">
        <v>0</v>
      </c>
      <c r="G525" s="26">
        <v>0</v>
      </c>
      <c r="H525" s="26">
        <v>0</v>
      </c>
      <c r="I525" s="22">
        <v>0</v>
      </c>
      <c r="J525" s="22">
        <v>0</v>
      </c>
      <c r="K525"/>
      <c r="L525"/>
      <c r="M525"/>
      <c r="N525"/>
      <c r="O525"/>
      <c r="P525"/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</row>
    <row r="526" spans="1:35" customHeight="1" ht="15">
      <c r="A526"/>
      <c r="B526" s="17" t="s">
        <v>872</v>
      </c>
      <c r="C526" s="18" t="s">
        <v>873</v>
      </c>
      <c r="D526" s="23">
        <v>0</v>
      </c>
      <c r="E526" s="24">
        <v>0</v>
      </c>
      <c r="F526" s="25">
        <v>0</v>
      </c>
      <c r="G526" s="26">
        <v>0</v>
      </c>
      <c r="H526" s="26">
        <v>0</v>
      </c>
      <c r="I526" s="22">
        <v>0</v>
      </c>
      <c r="J526" s="22">
        <v>0</v>
      </c>
      <c r="K526"/>
      <c r="L526"/>
      <c r="M526"/>
      <c r="N526"/>
      <c r="O526"/>
      <c r="P526"/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</row>
    <row r="527" spans="1:35" customHeight="1" ht="15">
      <c r="A527"/>
      <c r="B527" s="17" t="s">
        <v>874</v>
      </c>
      <c r="C527" s="18" t="s">
        <v>875</v>
      </c>
      <c r="D527" s="23">
        <v>0</v>
      </c>
      <c r="E527" s="24">
        <v>0</v>
      </c>
      <c r="F527" s="25">
        <v>0</v>
      </c>
      <c r="G527" s="26">
        <v>0</v>
      </c>
      <c r="H527" s="26">
        <v>0</v>
      </c>
      <c r="I527" s="22">
        <v>0</v>
      </c>
      <c r="J527" s="22">
        <v>0</v>
      </c>
      <c r="K527"/>
      <c r="L527"/>
      <c r="M527"/>
      <c r="N527"/>
      <c r="O527"/>
      <c r="P527"/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</row>
    <row r="528" spans="1:35" customHeight="1" ht="15">
      <c r="A528"/>
      <c r="B528" s="17" t="s">
        <v>876</v>
      </c>
      <c r="C528" s="18" t="s">
        <v>877</v>
      </c>
      <c r="D528" s="23">
        <v>0</v>
      </c>
      <c r="E528" s="24">
        <v>0</v>
      </c>
      <c r="F528" s="25">
        <v>0</v>
      </c>
      <c r="G528" s="26">
        <v>0</v>
      </c>
      <c r="H528" s="26">
        <v>0</v>
      </c>
      <c r="I528" s="22">
        <v>0</v>
      </c>
      <c r="J528" s="22">
        <v>0</v>
      </c>
      <c r="K528"/>
      <c r="L528"/>
      <c r="M528"/>
      <c r="N528"/>
      <c r="O528"/>
      <c r="P528"/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</row>
    <row r="529" spans="1:35" customHeight="1" ht="15">
      <c r="A529"/>
      <c r="B529" s="17" t="s">
        <v>878</v>
      </c>
      <c r="C529" s="18" t="s">
        <v>879</v>
      </c>
      <c r="D529" s="23">
        <v>0</v>
      </c>
      <c r="E529" s="24">
        <v>0</v>
      </c>
      <c r="F529" s="25">
        <v>0</v>
      </c>
      <c r="G529" s="26">
        <v>0</v>
      </c>
      <c r="H529" s="26">
        <v>0</v>
      </c>
      <c r="I529" s="22">
        <v>0</v>
      </c>
      <c r="J529" s="22">
        <v>0</v>
      </c>
      <c r="K529"/>
      <c r="L529"/>
      <c r="M529"/>
      <c r="N529"/>
      <c r="O529"/>
      <c r="P529"/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</row>
    <row r="530" spans="1:35" customHeight="1" ht="15">
      <c r="A530"/>
      <c r="B530" s="17" t="s">
        <v>880</v>
      </c>
      <c r="C530" s="18" t="s">
        <v>881</v>
      </c>
      <c r="D530" s="23">
        <v>0</v>
      </c>
      <c r="E530" s="24">
        <v>0</v>
      </c>
      <c r="F530" s="25">
        <v>0</v>
      </c>
      <c r="G530" s="26">
        <v>0</v>
      </c>
      <c r="H530" s="26">
        <v>0</v>
      </c>
      <c r="I530" s="22">
        <v>0</v>
      </c>
      <c r="J530" s="22">
        <v>0</v>
      </c>
      <c r="K530"/>
      <c r="L530"/>
      <c r="M530"/>
      <c r="N530"/>
      <c r="O530"/>
      <c r="P530"/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</row>
    <row r="531" spans="1:35" customHeight="1" ht="15">
      <c r="A531"/>
      <c r="B531" s="17" t="s">
        <v>882</v>
      </c>
      <c r="C531" s="18" t="s">
        <v>883</v>
      </c>
      <c r="D531" s="23">
        <v>0</v>
      </c>
      <c r="E531" s="24">
        <v>0</v>
      </c>
      <c r="F531" s="25">
        <v>0</v>
      </c>
      <c r="G531" s="26">
        <v>0</v>
      </c>
      <c r="H531" s="26">
        <v>0</v>
      </c>
      <c r="I531" s="22">
        <v>0</v>
      </c>
      <c r="J531" s="22">
        <v>0</v>
      </c>
      <c r="K531"/>
      <c r="L531"/>
      <c r="M531"/>
      <c r="N531"/>
      <c r="O531"/>
      <c r="P531"/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</row>
    <row r="532" spans="1:35" customHeight="1" ht="15">
      <c r="A532"/>
      <c r="B532" s="17" t="s">
        <v>884</v>
      </c>
      <c r="C532" s="18" t="s">
        <v>885</v>
      </c>
      <c r="D532" s="23">
        <v>0</v>
      </c>
      <c r="E532" s="24">
        <v>0</v>
      </c>
      <c r="F532" s="25">
        <v>0</v>
      </c>
      <c r="G532" s="26">
        <v>0</v>
      </c>
      <c r="H532" s="26">
        <v>0</v>
      </c>
      <c r="I532" s="22">
        <v>0</v>
      </c>
      <c r="J532" s="22">
        <v>0</v>
      </c>
      <c r="K532"/>
      <c r="L532"/>
      <c r="M532"/>
      <c r="N532"/>
      <c r="O532"/>
      <c r="P532"/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</row>
    <row r="533" spans="1:35" customHeight="1" ht="15">
      <c r="A533"/>
      <c r="B533" s="17" t="s">
        <v>886</v>
      </c>
      <c r="C533" s="18" t="s">
        <v>887</v>
      </c>
      <c r="D533" s="23">
        <v>0</v>
      </c>
      <c r="E533" s="24">
        <v>0</v>
      </c>
      <c r="F533" s="25">
        <v>0</v>
      </c>
      <c r="G533" s="26">
        <v>0</v>
      </c>
      <c r="H533" s="26">
        <v>0</v>
      </c>
      <c r="I533" s="22">
        <v>0</v>
      </c>
      <c r="J533" s="22">
        <v>0</v>
      </c>
      <c r="K533"/>
      <c r="L533"/>
      <c r="M533"/>
      <c r="N533"/>
      <c r="O533"/>
      <c r="P533"/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</row>
    <row r="534" spans="1:35" customHeight="1" ht="15">
      <c r="A534"/>
      <c r="B534" s="17" t="s">
        <v>888</v>
      </c>
      <c r="C534" s="18" t="s">
        <v>889</v>
      </c>
      <c r="D534" s="23">
        <v>0</v>
      </c>
      <c r="E534" s="24">
        <v>0</v>
      </c>
      <c r="F534" s="25">
        <v>0</v>
      </c>
      <c r="G534" s="26">
        <v>0</v>
      </c>
      <c r="H534" s="26">
        <v>0</v>
      </c>
      <c r="I534" s="22">
        <v>0</v>
      </c>
      <c r="J534" s="22">
        <v>0</v>
      </c>
      <c r="K534"/>
      <c r="L534"/>
      <c r="M534"/>
      <c r="N534"/>
      <c r="O534"/>
      <c r="P534"/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</row>
    <row r="535" spans="1:35" customHeight="1" ht="15">
      <c r="A535"/>
      <c r="B535" s="17" t="s">
        <v>890</v>
      </c>
      <c r="C535" s="18" t="s">
        <v>891</v>
      </c>
      <c r="D535" s="23">
        <v>0</v>
      </c>
      <c r="E535" s="24">
        <v>0</v>
      </c>
      <c r="F535" s="25">
        <v>0</v>
      </c>
      <c r="G535" s="26">
        <v>0</v>
      </c>
      <c r="H535" s="26">
        <v>0</v>
      </c>
      <c r="I535" s="22">
        <v>0</v>
      </c>
      <c r="J535" s="22">
        <v>0</v>
      </c>
      <c r="K535"/>
      <c r="L535"/>
      <c r="M535"/>
      <c r="N535"/>
      <c r="O535"/>
      <c r="P535"/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</row>
    <row r="536" spans="1:35" customHeight="1" ht="15">
      <c r="A536"/>
      <c r="B536" s="17" t="s">
        <v>892</v>
      </c>
      <c r="C536" s="18" t="s">
        <v>893</v>
      </c>
      <c r="D536" s="23">
        <v>0</v>
      </c>
      <c r="E536" s="24">
        <v>0</v>
      </c>
      <c r="F536" s="25">
        <v>0</v>
      </c>
      <c r="G536" s="26">
        <v>0</v>
      </c>
      <c r="H536" s="26">
        <v>0</v>
      </c>
      <c r="I536" s="22">
        <v>0</v>
      </c>
      <c r="J536" s="22">
        <v>0</v>
      </c>
      <c r="K536"/>
      <c r="L536"/>
      <c r="M536"/>
      <c r="N536"/>
      <c r="O536"/>
      <c r="P536"/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</row>
    <row r="537" spans="1:35" customHeight="1" ht="15">
      <c r="A537"/>
      <c r="B537" s="17" t="s">
        <v>894</v>
      </c>
      <c r="C537" s="18" t="s">
        <v>895</v>
      </c>
      <c r="D537" s="23">
        <v>0</v>
      </c>
      <c r="E537" s="24">
        <v>0</v>
      </c>
      <c r="F537" s="25">
        <v>0</v>
      </c>
      <c r="G537" s="26">
        <v>0</v>
      </c>
      <c r="H537" s="26">
        <v>0</v>
      </c>
      <c r="I537" s="22">
        <v>0</v>
      </c>
      <c r="J537" s="22">
        <v>0</v>
      </c>
      <c r="K537"/>
      <c r="L537"/>
      <c r="M537"/>
      <c r="N537"/>
      <c r="O537"/>
      <c r="P537"/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</row>
    <row r="538" spans="1:35" customHeight="1" ht="15">
      <c r="A538"/>
      <c r="B538" s="17" t="s">
        <v>896</v>
      </c>
      <c r="C538" s="18" t="s">
        <v>897</v>
      </c>
      <c r="D538" s="23">
        <v>0</v>
      </c>
      <c r="E538" s="24">
        <v>0</v>
      </c>
      <c r="F538" s="25">
        <v>0</v>
      </c>
      <c r="G538" s="26">
        <v>0</v>
      </c>
      <c r="H538" s="26">
        <v>0</v>
      </c>
      <c r="I538" s="22">
        <v>0</v>
      </c>
      <c r="J538" s="22">
        <v>0</v>
      </c>
      <c r="K538"/>
      <c r="L538"/>
      <c r="M538"/>
      <c r="N538"/>
      <c r="O538"/>
      <c r="P538"/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</row>
    <row r="539" spans="1:35" customHeight="1" ht="15">
      <c r="A539"/>
      <c r="B539" s="17" t="s">
        <v>898</v>
      </c>
      <c r="C539" s="18" t="s">
        <v>899</v>
      </c>
      <c r="D539" s="23">
        <v>0</v>
      </c>
      <c r="E539" s="24">
        <v>0</v>
      </c>
      <c r="F539" s="25">
        <v>0</v>
      </c>
      <c r="G539" s="26">
        <v>0</v>
      </c>
      <c r="H539" s="26">
        <v>0</v>
      </c>
      <c r="I539" s="22">
        <v>0</v>
      </c>
      <c r="J539" s="22">
        <v>0</v>
      </c>
      <c r="K539"/>
      <c r="L539"/>
      <c r="M539"/>
      <c r="N539"/>
      <c r="O539"/>
      <c r="P539"/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</row>
    <row r="540" spans="1:35" customHeight="1" ht="15">
      <c r="A540"/>
      <c r="B540" s="17" t="s">
        <v>900</v>
      </c>
      <c r="C540" s="18" t="s">
        <v>901</v>
      </c>
      <c r="D540" s="23">
        <v>0</v>
      </c>
      <c r="E540" s="24">
        <v>0</v>
      </c>
      <c r="F540" s="25">
        <v>0</v>
      </c>
      <c r="G540" s="26">
        <v>0</v>
      </c>
      <c r="H540" s="26">
        <v>0</v>
      </c>
      <c r="I540" s="22">
        <v>0</v>
      </c>
      <c r="J540" s="22">
        <v>0</v>
      </c>
      <c r="K540"/>
      <c r="L540"/>
      <c r="M540"/>
      <c r="N540"/>
      <c r="O540"/>
      <c r="P540"/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</row>
    <row r="541" spans="1:35" customHeight="1" ht="15">
      <c r="A541"/>
      <c r="B541" s="17" t="s">
        <v>902</v>
      </c>
      <c r="C541" s="18" t="s">
        <v>903</v>
      </c>
      <c r="D541" s="23">
        <v>0</v>
      </c>
      <c r="E541" s="24">
        <v>0</v>
      </c>
      <c r="F541" s="25">
        <v>0</v>
      </c>
      <c r="G541" s="26">
        <v>0</v>
      </c>
      <c r="H541" s="26">
        <v>0</v>
      </c>
      <c r="I541" s="22">
        <v>0</v>
      </c>
      <c r="J541" s="22">
        <v>0</v>
      </c>
      <c r="K541"/>
      <c r="L541"/>
      <c r="M541"/>
      <c r="N541"/>
      <c r="O541"/>
      <c r="P541"/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</row>
    <row r="542" spans="1:35" customHeight="1" ht="15">
      <c r="A542"/>
      <c r="B542" s="17" t="s">
        <v>904</v>
      </c>
      <c r="C542" s="18" t="s">
        <v>905</v>
      </c>
      <c r="D542" s="23">
        <v>0</v>
      </c>
      <c r="E542" s="24">
        <v>0</v>
      </c>
      <c r="F542" s="25">
        <v>0</v>
      </c>
      <c r="G542" s="26">
        <v>0</v>
      </c>
      <c r="H542" s="26">
        <v>0</v>
      </c>
      <c r="I542" s="22">
        <v>0</v>
      </c>
      <c r="J542" s="22">
        <v>0</v>
      </c>
      <c r="K542"/>
      <c r="L542"/>
      <c r="M542"/>
      <c r="N542"/>
      <c r="O542"/>
      <c r="P542"/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</row>
    <row r="543" spans="1:35" customHeight="1" ht="15">
      <c r="A543"/>
      <c r="B543" s="17" t="s">
        <v>906</v>
      </c>
      <c r="C543" s="18" t="s">
        <v>907</v>
      </c>
      <c r="D543" s="23">
        <v>0</v>
      </c>
      <c r="E543" s="24">
        <v>0</v>
      </c>
      <c r="F543" s="25">
        <v>0</v>
      </c>
      <c r="G543" s="26">
        <v>0</v>
      </c>
      <c r="H543" s="26">
        <v>0</v>
      </c>
      <c r="I543" s="22">
        <v>0</v>
      </c>
      <c r="J543" s="22">
        <v>0</v>
      </c>
      <c r="K543"/>
      <c r="L543"/>
      <c r="M543"/>
      <c r="N543"/>
      <c r="O543"/>
      <c r="P543"/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</row>
    <row r="544" spans="1:35" customHeight="1" ht="15">
      <c r="A544"/>
      <c r="B544" s="17" t="s">
        <v>908</v>
      </c>
      <c r="C544" s="18" t="s">
        <v>909</v>
      </c>
      <c r="D544" s="23">
        <v>0</v>
      </c>
      <c r="E544" s="24">
        <v>0</v>
      </c>
      <c r="F544" s="25">
        <v>0</v>
      </c>
      <c r="G544" s="26">
        <v>0</v>
      </c>
      <c r="H544" s="26">
        <v>0</v>
      </c>
      <c r="I544" s="22">
        <v>0</v>
      </c>
      <c r="J544" s="22">
        <v>0</v>
      </c>
      <c r="K544"/>
      <c r="L544"/>
      <c r="M544"/>
      <c r="N544"/>
      <c r="O544"/>
      <c r="P544"/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</row>
    <row r="545" spans="1:35" customHeight="1" ht="15">
      <c r="A545"/>
      <c r="B545" s="17" t="s">
        <v>910</v>
      </c>
      <c r="C545" s="18" t="s">
        <v>911</v>
      </c>
      <c r="D545" s="23">
        <v>0</v>
      </c>
      <c r="E545" s="24">
        <v>0</v>
      </c>
      <c r="F545" s="25">
        <v>0</v>
      </c>
      <c r="G545" s="26">
        <v>0</v>
      </c>
      <c r="H545" s="26">
        <v>0</v>
      </c>
      <c r="I545" s="22">
        <v>0</v>
      </c>
      <c r="J545" s="22">
        <v>0</v>
      </c>
      <c r="K545"/>
      <c r="L545"/>
      <c r="M545"/>
      <c r="N545"/>
      <c r="O545"/>
      <c r="P545"/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</row>
    <row r="546" spans="1:35" customHeight="1" ht="15">
      <c r="A546"/>
      <c r="B546" s="17" t="s">
        <v>912</v>
      </c>
      <c r="C546" s="18" t="s">
        <v>913</v>
      </c>
      <c r="D546" s="23">
        <v>0</v>
      </c>
      <c r="E546" s="24">
        <v>0</v>
      </c>
      <c r="F546" s="25">
        <v>0</v>
      </c>
      <c r="G546" s="26">
        <v>0</v>
      </c>
      <c r="H546" s="26">
        <v>0</v>
      </c>
      <c r="I546" s="22">
        <v>0</v>
      </c>
      <c r="J546" s="22">
        <v>0</v>
      </c>
      <c r="K546"/>
      <c r="L546"/>
      <c r="M546"/>
      <c r="N546"/>
      <c r="O546"/>
      <c r="P546"/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</row>
    <row r="547" spans="1:35" customHeight="1" ht="15">
      <c r="A547"/>
      <c r="B547" s="17" t="s">
        <v>914</v>
      </c>
      <c r="C547" s="18" t="s">
        <v>915</v>
      </c>
      <c r="D547" s="23">
        <v>0</v>
      </c>
      <c r="E547" s="24">
        <v>0</v>
      </c>
      <c r="F547" s="25">
        <v>0</v>
      </c>
      <c r="G547" s="26">
        <v>0</v>
      </c>
      <c r="H547" s="26">
        <v>0</v>
      </c>
      <c r="I547" s="22">
        <v>0</v>
      </c>
      <c r="J547" s="22">
        <v>0</v>
      </c>
      <c r="K547"/>
      <c r="L547"/>
      <c r="M547"/>
      <c r="N547"/>
      <c r="O547"/>
      <c r="P547"/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</row>
    <row r="548" spans="1:35" customHeight="1" ht="15">
      <c r="A548"/>
      <c r="B548" s="17" t="s">
        <v>916</v>
      </c>
      <c r="C548" s="18" t="s">
        <v>917</v>
      </c>
      <c r="D548" s="23">
        <v>0</v>
      </c>
      <c r="E548" s="24">
        <v>0</v>
      </c>
      <c r="F548" s="25">
        <v>0</v>
      </c>
      <c r="G548" s="26">
        <v>0</v>
      </c>
      <c r="H548" s="26">
        <v>0</v>
      </c>
      <c r="I548" s="22">
        <v>0</v>
      </c>
      <c r="J548" s="22">
        <v>0</v>
      </c>
      <c r="K548"/>
      <c r="L548"/>
      <c r="M548"/>
      <c r="N548"/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</row>
    <row r="549" spans="1:35" customHeight="1" ht="15">
      <c r="A549"/>
      <c r="B549" s="17" t="s">
        <v>918</v>
      </c>
      <c r="C549" s="18" t="s">
        <v>919</v>
      </c>
      <c r="D549" s="23">
        <v>0</v>
      </c>
      <c r="E549" s="24">
        <v>0</v>
      </c>
      <c r="F549" s="25">
        <v>0</v>
      </c>
      <c r="G549" s="26">
        <v>0</v>
      </c>
      <c r="H549" s="26">
        <v>0</v>
      </c>
      <c r="I549" s="22">
        <v>0</v>
      </c>
      <c r="J549" s="22">
        <v>0</v>
      </c>
      <c r="K549"/>
      <c r="L549"/>
      <c r="M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</row>
    <row r="550" spans="1:35" customHeight="1" ht="15">
      <c r="A550"/>
      <c r="B550" s="17" t="s">
        <v>920</v>
      </c>
      <c r="C550" s="18" t="s">
        <v>921</v>
      </c>
      <c r="D550" s="23">
        <v>0</v>
      </c>
      <c r="E550" s="24">
        <v>0</v>
      </c>
      <c r="F550" s="25">
        <v>0</v>
      </c>
      <c r="G550" s="26">
        <v>0</v>
      </c>
      <c r="H550" s="26">
        <v>0</v>
      </c>
      <c r="I550" s="22">
        <v>0</v>
      </c>
      <c r="J550" s="22">
        <v>0</v>
      </c>
      <c r="K550"/>
      <c r="L550"/>
      <c r="M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</row>
    <row r="551" spans="1:35" customHeight="1" ht="15">
      <c r="A551"/>
      <c r="B551" s="17" t="s">
        <v>922</v>
      </c>
      <c r="C551" s="18" t="s">
        <v>923</v>
      </c>
      <c r="D551" s="23">
        <v>0</v>
      </c>
      <c r="E551" s="24">
        <v>0</v>
      </c>
      <c r="F551" s="25">
        <v>0</v>
      </c>
      <c r="G551" s="26">
        <v>0</v>
      </c>
      <c r="H551" s="26">
        <v>0</v>
      </c>
      <c r="I551" s="22">
        <v>0</v>
      </c>
      <c r="J551" s="22">
        <v>0</v>
      </c>
      <c r="K551"/>
      <c r="L551"/>
      <c r="M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</row>
    <row r="552" spans="1:35" customHeight="1" ht="15">
      <c r="A552"/>
      <c r="B552" s="17" t="s">
        <v>924</v>
      </c>
      <c r="C552" s="18" t="s">
        <v>925</v>
      </c>
      <c r="D552" s="23">
        <v>0</v>
      </c>
      <c r="E552" s="24">
        <v>0</v>
      </c>
      <c r="F552" s="25">
        <v>0</v>
      </c>
      <c r="G552" s="26">
        <v>0</v>
      </c>
      <c r="H552" s="26">
        <v>0</v>
      </c>
      <c r="I552" s="22">
        <v>0</v>
      </c>
      <c r="J552" s="22">
        <v>0</v>
      </c>
      <c r="K552"/>
      <c r="L552"/>
      <c r="M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</row>
    <row r="553" spans="1:35" customHeight="1" ht="15">
      <c r="A553"/>
      <c r="B553" s="17" t="s">
        <v>926</v>
      </c>
      <c r="C553" s="18" t="s">
        <v>927</v>
      </c>
      <c r="D553" s="23">
        <v>0</v>
      </c>
      <c r="E553" s="24">
        <v>0</v>
      </c>
      <c r="F553" s="25">
        <v>0</v>
      </c>
      <c r="G553" s="26">
        <v>0</v>
      </c>
      <c r="H553" s="26">
        <v>0</v>
      </c>
      <c r="I553" s="22">
        <v>0</v>
      </c>
      <c r="J553" s="22">
        <v>0</v>
      </c>
      <c r="K553"/>
      <c r="L553"/>
      <c r="M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</row>
    <row r="554" spans="1:35" customHeight="1" ht="15">
      <c r="A554"/>
      <c r="B554" s="17" t="s">
        <v>928</v>
      </c>
      <c r="C554" s="18" t="s">
        <v>929</v>
      </c>
      <c r="D554" s="23">
        <v>0</v>
      </c>
      <c r="E554" s="24">
        <v>0</v>
      </c>
      <c r="F554" s="25">
        <v>0</v>
      </c>
      <c r="G554" s="26">
        <v>0</v>
      </c>
      <c r="H554" s="26">
        <v>0</v>
      </c>
      <c r="I554" s="22">
        <v>0</v>
      </c>
      <c r="J554" s="22">
        <v>0</v>
      </c>
      <c r="K554"/>
      <c r="L554"/>
      <c r="M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</row>
    <row r="555" spans="1:35" customHeight="1" ht="15">
      <c r="A555"/>
      <c r="B555" s="17" t="s">
        <v>930</v>
      </c>
      <c r="C555" s="18" t="s">
        <v>931</v>
      </c>
      <c r="D555" s="23">
        <v>0</v>
      </c>
      <c r="E555" s="24">
        <v>0</v>
      </c>
      <c r="F555" s="25">
        <v>0</v>
      </c>
      <c r="G555" s="26">
        <v>0</v>
      </c>
      <c r="H555" s="26">
        <v>0</v>
      </c>
      <c r="I555" s="22">
        <v>0</v>
      </c>
      <c r="J555" s="22">
        <v>0</v>
      </c>
      <c r="K555"/>
      <c r="L555"/>
      <c r="M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</row>
    <row r="556" spans="1:35" customHeight="1" ht="15">
      <c r="A556"/>
      <c r="B556" s="17" t="s">
        <v>932</v>
      </c>
      <c r="C556" s="18" t="s">
        <v>933</v>
      </c>
      <c r="D556" s="23">
        <v>0</v>
      </c>
      <c r="E556" s="24">
        <v>0</v>
      </c>
      <c r="F556" s="25">
        <v>0</v>
      </c>
      <c r="G556" s="26">
        <v>0</v>
      </c>
      <c r="H556" s="26">
        <v>0</v>
      </c>
      <c r="I556" s="22">
        <v>0</v>
      </c>
      <c r="J556" s="22">
        <v>0</v>
      </c>
      <c r="K556"/>
      <c r="L556"/>
      <c r="M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</row>
    <row r="557" spans="1:35" customHeight="1" ht="15">
      <c r="A557"/>
      <c r="B557" s="17" t="s">
        <v>934</v>
      </c>
      <c r="C557" s="18" t="s">
        <v>935</v>
      </c>
      <c r="D557" s="23">
        <v>0</v>
      </c>
      <c r="E557" s="24">
        <v>0</v>
      </c>
      <c r="F557" s="25">
        <v>0</v>
      </c>
      <c r="G557" s="26">
        <v>0</v>
      </c>
      <c r="H557" s="26">
        <v>0</v>
      </c>
      <c r="I557" s="22">
        <v>0</v>
      </c>
      <c r="J557" s="22">
        <v>0</v>
      </c>
      <c r="K557"/>
      <c r="L557"/>
      <c r="M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</row>
    <row r="558" spans="1:35" customHeight="1" ht="15">
      <c r="A558"/>
      <c r="B558" s="17" t="s">
        <v>936</v>
      </c>
      <c r="C558" s="18" t="s">
        <v>937</v>
      </c>
      <c r="D558" s="23">
        <v>0</v>
      </c>
      <c r="E558" s="24">
        <v>0</v>
      </c>
      <c r="F558" s="25">
        <v>0</v>
      </c>
      <c r="G558" s="26">
        <v>0</v>
      </c>
      <c r="H558" s="26">
        <v>0</v>
      </c>
      <c r="I558" s="22">
        <v>0</v>
      </c>
      <c r="J558" s="22">
        <v>0</v>
      </c>
      <c r="K558"/>
      <c r="L558"/>
      <c r="M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</row>
    <row r="559" spans="1:35" customHeight="1" ht="15">
      <c r="A559"/>
      <c r="B559" s="17" t="s">
        <v>938</v>
      </c>
      <c r="C559" s="18" t="s">
        <v>939</v>
      </c>
      <c r="D559" s="23">
        <v>0</v>
      </c>
      <c r="E559" s="24">
        <v>0</v>
      </c>
      <c r="F559" s="25">
        <v>0</v>
      </c>
      <c r="G559" s="26">
        <v>0</v>
      </c>
      <c r="H559" s="26">
        <v>0</v>
      </c>
      <c r="I559" s="22">
        <v>1</v>
      </c>
      <c r="J559" s="22">
        <v>0</v>
      </c>
      <c r="K559"/>
      <c r="L559"/>
      <c r="M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</row>
    <row r="560" spans="1:35" customHeight="1" ht="15">
      <c r="A560"/>
      <c r="B560" s="17" t="s">
        <v>940</v>
      </c>
      <c r="C560" s="18" t="s">
        <v>941</v>
      </c>
      <c r="D560" s="23">
        <v>0</v>
      </c>
      <c r="E560" s="24">
        <v>0</v>
      </c>
      <c r="F560" s="25">
        <v>0</v>
      </c>
      <c r="G560" s="26">
        <v>0</v>
      </c>
      <c r="H560" s="26">
        <v>0</v>
      </c>
      <c r="I560" s="22">
        <v>0</v>
      </c>
      <c r="J560" s="22">
        <v>0</v>
      </c>
      <c r="K560"/>
      <c r="L560"/>
      <c r="M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</row>
    <row r="561" spans="1:35" customHeight="1" ht="15">
      <c r="A561"/>
      <c r="B561" s="17" t="s">
        <v>942</v>
      </c>
      <c r="C561" s="18" t="s">
        <v>943</v>
      </c>
      <c r="D561" s="23">
        <v>0</v>
      </c>
      <c r="E561" s="24">
        <v>0</v>
      </c>
      <c r="F561" s="25">
        <v>0</v>
      </c>
      <c r="G561" s="26">
        <v>0</v>
      </c>
      <c r="H561" s="26">
        <v>0</v>
      </c>
      <c r="I561" s="22">
        <v>0</v>
      </c>
      <c r="J561" s="22">
        <v>0</v>
      </c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</row>
    <row r="562" spans="1:35" customHeight="1" ht="15">
      <c r="A562"/>
      <c r="B562" s="17" t="s">
        <v>944</v>
      </c>
      <c r="C562" s="18" t="s">
        <v>945</v>
      </c>
      <c r="D562" s="23">
        <v>0</v>
      </c>
      <c r="E562" s="24">
        <v>0</v>
      </c>
      <c r="F562" s="25">
        <v>0</v>
      </c>
      <c r="G562" s="26">
        <v>0</v>
      </c>
      <c r="H562" s="26">
        <v>0</v>
      </c>
      <c r="I562" s="22">
        <v>0</v>
      </c>
      <c r="J562" s="22">
        <v>0</v>
      </c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</row>
    <row r="563" spans="1:35" customHeight="1" ht="15">
      <c r="A563"/>
      <c r="B563" s="17" t="s">
        <v>946</v>
      </c>
      <c r="C563" s="18" t="s">
        <v>947</v>
      </c>
      <c r="D563" s="23">
        <v>0</v>
      </c>
      <c r="E563" s="24">
        <v>0</v>
      </c>
      <c r="F563" s="25">
        <v>0</v>
      </c>
      <c r="G563" s="26">
        <v>0</v>
      </c>
      <c r="H563" s="26">
        <v>0</v>
      </c>
      <c r="I563" s="22">
        <v>0</v>
      </c>
      <c r="J563" s="22">
        <v>0</v>
      </c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</row>
    <row r="564" spans="1:35" customHeight="1" ht="15">
      <c r="A564"/>
      <c r="B564" s="17" t="s">
        <v>948</v>
      </c>
      <c r="C564" s="18" t="s">
        <v>949</v>
      </c>
      <c r="D564" s="23">
        <v>0</v>
      </c>
      <c r="E564" s="24">
        <v>0</v>
      </c>
      <c r="F564" s="25">
        <v>0</v>
      </c>
      <c r="G564" s="26">
        <v>0</v>
      </c>
      <c r="H564" s="26">
        <v>0</v>
      </c>
      <c r="I564" s="22">
        <v>0</v>
      </c>
      <c r="J564" s="22">
        <v>0</v>
      </c>
      <c r="K564"/>
      <c r="L564"/>
      <c r="M564"/>
      <c r="N564"/>
      <c r="O564"/>
      <c r="P564"/>
      <c r="Q564"/>
      <c r="R564"/>
      <c r="S564"/>
      <c r="T564"/>
      <c r="U564"/>
      <c r="V564"/>
      <c r="W564"/>
      <c r="X564"/>
      <c r="Y564"/>
      <c r="Z564"/>
      <c r="AA564"/>
      <c r="AB564"/>
      <c r="AC564"/>
      <c r="AD564"/>
      <c r="AE564"/>
      <c r="AF564"/>
      <c r="AG564"/>
      <c r="AH564"/>
      <c r="AI564"/>
    </row>
    <row r="565" spans="1:35" customHeight="1" ht="15">
      <c r="A565"/>
      <c r="B565" s="17" t="s">
        <v>950</v>
      </c>
      <c r="C565" s="18" t="s">
        <v>951</v>
      </c>
      <c r="D565" s="23">
        <v>0</v>
      </c>
      <c r="E565" s="24">
        <v>0</v>
      </c>
      <c r="F565" s="25">
        <v>0</v>
      </c>
      <c r="G565" s="26">
        <v>0</v>
      </c>
      <c r="H565" s="26">
        <v>0</v>
      </c>
      <c r="I565" s="22">
        <v>0</v>
      </c>
      <c r="J565" s="22">
        <v>0</v>
      </c>
      <c r="K565"/>
      <c r="L565"/>
      <c r="M565"/>
      <c r="N565"/>
      <c r="O565"/>
      <c r="P565"/>
      <c r="Q565"/>
      <c r="R565"/>
      <c r="S565"/>
      <c r="T565"/>
      <c r="U565"/>
      <c r="V565"/>
      <c r="W565"/>
      <c r="X565"/>
      <c r="Y565"/>
      <c r="Z565"/>
      <c r="AA565"/>
      <c r="AB565"/>
      <c r="AC565"/>
      <c r="AD565"/>
      <c r="AE565"/>
      <c r="AF565"/>
      <c r="AG565"/>
      <c r="AH565"/>
      <c r="AI565"/>
    </row>
    <row r="566" spans="1:35" customHeight="1" ht="15">
      <c r="A566"/>
      <c r="B566" s="17" t="s">
        <v>952</v>
      </c>
      <c r="C566" s="18" t="s">
        <v>953</v>
      </c>
      <c r="D566" s="23">
        <v>0</v>
      </c>
      <c r="E566" s="24">
        <v>0</v>
      </c>
      <c r="F566" s="25">
        <v>0</v>
      </c>
      <c r="G566" s="26">
        <v>0</v>
      </c>
      <c r="H566" s="26">
        <v>0</v>
      </c>
      <c r="I566" s="22">
        <v>0</v>
      </c>
      <c r="J566" s="22">
        <v>0</v>
      </c>
      <c r="K566"/>
      <c r="L566"/>
      <c r="M566"/>
      <c r="N566"/>
      <c r="O566"/>
      <c r="P566"/>
      <c r="Q566"/>
      <c r="R566"/>
      <c r="S566"/>
      <c r="T566"/>
      <c r="U566"/>
      <c r="V566"/>
      <c r="W566"/>
      <c r="X566"/>
      <c r="Y566"/>
      <c r="Z566"/>
      <c r="AA566"/>
      <c r="AB566"/>
      <c r="AC566"/>
      <c r="AD566"/>
      <c r="AE566"/>
      <c r="AF566"/>
      <c r="AG566"/>
      <c r="AH566"/>
      <c r="AI566"/>
    </row>
    <row r="567" spans="1:35" customHeight="1" ht="15">
      <c r="A567"/>
      <c r="B567" s="17" t="s">
        <v>954</v>
      </c>
      <c r="C567" s="18" t="s">
        <v>955</v>
      </c>
      <c r="D567" s="23">
        <v>0</v>
      </c>
      <c r="E567" s="24">
        <v>0</v>
      </c>
      <c r="F567" s="25">
        <v>0</v>
      </c>
      <c r="G567" s="26">
        <v>0</v>
      </c>
      <c r="H567" s="26">
        <v>0</v>
      </c>
      <c r="I567" s="22">
        <v>0</v>
      </c>
      <c r="J567" s="22">
        <v>0</v>
      </c>
      <c r="K567"/>
      <c r="L567"/>
      <c r="M567"/>
      <c r="N567"/>
      <c r="O567"/>
      <c r="P567"/>
      <c r="Q567"/>
      <c r="R567"/>
      <c r="S567"/>
      <c r="T567"/>
      <c r="U567"/>
      <c r="V567"/>
      <c r="W567"/>
      <c r="X567"/>
      <c r="Y567"/>
      <c r="Z567"/>
      <c r="AA567"/>
      <c r="AB567"/>
      <c r="AC567"/>
      <c r="AD567"/>
      <c r="AE567"/>
      <c r="AF567"/>
      <c r="AG567"/>
      <c r="AH567"/>
      <c r="AI567"/>
    </row>
    <row r="568" spans="1:35" customHeight="1" ht="15">
      <c r="A568"/>
      <c r="B568" s="17" t="s">
        <v>956</v>
      </c>
      <c r="C568" s="18" t="s">
        <v>957</v>
      </c>
      <c r="D568" s="23">
        <v>0</v>
      </c>
      <c r="E568" s="24">
        <v>0</v>
      </c>
      <c r="F568" s="25">
        <v>0</v>
      </c>
      <c r="G568" s="26">
        <v>0</v>
      </c>
      <c r="H568" s="26">
        <v>0</v>
      </c>
      <c r="I568" s="22">
        <v>0</v>
      </c>
      <c r="J568" s="22">
        <v>0</v>
      </c>
      <c r="K568"/>
      <c r="L568"/>
      <c r="M568"/>
      <c r="N568"/>
      <c r="O568"/>
      <c r="P568"/>
      <c r="Q568"/>
      <c r="R568"/>
      <c r="S568"/>
      <c r="T568"/>
      <c r="U568"/>
      <c r="V568"/>
      <c r="W568"/>
      <c r="X568"/>
      <c r="Y568"/>
      <c r="Z568"/>
      <c r="AA568"/>
      <c r="AB568"/>
      <c r="AC568"/>
      <c r="AD568"/>
      <c r="AE568"/>
      <c r="AF568"/>
      <c r="AG568"/>
      <c r="AH568"/>
      <c r="AI568"/>
    </row>
    <row r="569" spans="1:35" customHeight="1" ht="15">
      <c r="A569"/>
      <c r="B569" s="17" t="s">
        <v>958</v>
      </c>
      <c r="C569" s="18" t="s">
        <v>959</v>
      </c>
      <c r="D569" s="23">
        <v>0</v>
      </c>
      <c r="E569" s="24">
        <v>0</v>
      </c>
      <c r="F569" s="25">
        <v>0</v>
      </c>
      <c r="G569" s="26">
        <v>0</v>
      </c>
      <c r="H569" s="26">
        <v>0</v>
      </c>
      <c r="I569" s="22">
        <v>0</v>
      </c>
      <c r="J569" s="22">
        <v>0</v>
      </c>
      <c r="K569"/>
      <c r="L569"/>
      <c r="M569"/>
      <c r="N569"/>
      <c r="O569"/>
      <c r="P569"/>
      <c r="Q569"/>
      <c r="R569"/>
      <c r="S569"/>
      <c r="T569"/>
      <c r="U569"/>
      <c r="V569"/>
      <c r="W569"/>
      <c r="X569"/>
      <c r="Y569"/>
      <c r="Z569"/>
      <c r="AA569"/>
      <c r="AB569"/>
      <c r="AC569"/>
      <c r="AD569"/>
      <c r="AE569"/>
      <c r="AF569"/>
      <c r="AG569"/>
      <c r="AH569"/>
      <c r="AI569"/>
    </row>
    <row r="570" spans="1:35" customHeight="1" ht="15">
      <c r="A570"/>
      <c r="B570" s="17" t="s">
        <v>960</v>
      </c>
      <c r="C570" s="18" t="s">
        <v>961</v>
      </c>
      <c r="D570" s="23">
        <v>0</v>
      </c>
      <c r="E570" s="24">
        <v>0</v>
      </c>
      <c r="F570" s="25">
        <v>0</v>
      </c>
      <c r="G570" s="26">
        <v>0</v>
      </c>
      <c r="H570" s="26">
        <v>0</v>
      </c>
      <c r="I570" s="22">
        <v>0</v>
      </c>
      <c r="J570" s="22">
        <v>0</v>
      </c>
      <c r="K570"/>
      <c r="L570"/>
      <c r="M570"/>
      <c r="N570"/>
      <c r="O570"/>
      <c r="P570"/>
      <c r="Q570"/>
      <c r="R570"/>
      <c r="S570"/>
      <c r="T570"/>
      <c r="U570"/>
      <c r="V570"/>
      <c r="W570"/>
      <c r="X570"/>
      <c r="Y570"/>
      <c r="Z570"/>
      <c r="AA570"/>
      <c r="AB570"/>
      <c r="AC570"/>
      <c r="AD570"/>
      <c r="AE570"/>
      <c r="AF570"/>
      <c r="AG570"/>
      <c r="AH570"/>
      <c r="AI570"/>
    </row>
    <row r="571" spans="1:35" customHeight="1" ht="15">
      <c r="A571"/>
      <c r="B571" s="17" t="s">
        <v>962</v>
      </c>
      <c r="C571" s="18" t="s">
        <v>963</v>
      </c>
      <c r="D571" s="23">
        <v>0</v>
      </c>
      <c r="E571" s="24">
        <v>0</v>
      </c>
      <c r="F571" s="25">
        <v>0</v>
      </c>
      <c r="G571" s="26">
        <v>0</v>
      </c>
      <c r="H571" s="26">
        <v>0</v>
      </c>
      <c r="I571" s="22">
        <v>0</v>
      </c>
      <c r="J571" s="22">
        <v>0</v>
      </c>
      <c r="K571"/>
      <c r="L571"/>
      <c r="M571"/>
      <c r="N571"/>
      <c r="O571"/>
      <c r="P571"/>
      <c r="Q571"/>
      <c r="R571"/>
      <c r="S571"/>
      <c r="T571"/>
      <c r="U571"/>
      <c r="V571"/>
      <c r="W571"/>
      <c r="X571"/>
      <c r="Y571"/>
      <c r="Z571"/>
      <c r="AA571"/>
      <c r="AB571"/>
      <c r="AC571"/>
      <c r="AD571"/>
      <c r="AE571"/>
      <c r="AF571"/>
      <c r="AG571"/>
      <c r="AH571"/>
      <c r="AI571"/>
    </row>
    <row r="572" spans="1:35" customHeight="1" ht="15">
      <c r="A572"/>
      <c r="B572" s="17" t="s">
        <v>964</v>
      </c>
      <c r="C572" s="18" t="s">
        <v>965</v>
      </c>
      <c r="D572" s="23">
        <v>0</v>
      </c>
      <c r="E572" s="24">
        <v>0</v>
      </c>
      <c r="F572" s="25">
        <v>0</v>
      </c>
      <c r="G572" s="26">
        <v>0</v>
      </c>
      <c r="H572" s="26">
        <v>0</v>
      </c>
      <c r="I572" s="22">
        <v>0</v>
      </c>
      <c r="J572" s="22">
        <v>0</v>
      </c>
      <c r="K572"/>
      <c r="L572"/>
      <c r="M572"/>
      <c r="N572"/>
      <c r="O572"/>
      <c r="P572"/>
      <c r="Q572"/>
      <c r="R572"/>
      <c r="S572"/>
      <c r="T572"/>
      <c r="U572"/>
      <c r="V572"/>
      <c r="W572"/>
      <c r="X572"/>
      <c r="Y572"/>
      <c r="Z572"/>
      <c r="AA572"/>
      <c r="AB572"/>
      <c r="AC572"/>
      <c r="AD572"/>
      <c r="AE572"/>
      <c r="AF572"/>
      <c r="AG572"/>
      <c r="AH572"/>
      <c r="AI572"/>
    </row>
    <row r="573" spans="1:35" customHeight="1" ht="15">
      <c r="A573"/>
      <c r="B573" s="17" t="s">
        <v>966</v>
      </c>
      <c r="C573" s="18" t="s">
        <v>967</v>
      </c>
      <c r="D573" s="23">
        <v>0</v>
      </c>
      <c r="E573" s="24">
        <v>0</v>
      </c>
      <c r="F573" s="25">
        <v>0</v>
      </c>
      <c r="G573" s="26">
        <v>0</v>
      </c>
      <c r="H573" s="26">
        <v>0</v>
      </c>
      <c r="I573" s="22">
        <v>0</v>
      </c>
      <c r="J573" s="22">
        <v>0</v>
      </c>
      <c r="K573"/>
      <c r="L573"/>
      <c r="M573"/>
      <c r="N573"/>
      <c r="O573"/>
      <c r="P573"/>
      <c r="Q573"/>
      <c r="R573"/>
      <c r="S573"/>
      <c r="T573"/>
      <c r="U573"/>
      <c r="V573"/>
      <c r="W573"/>
      <c r="X573"/>
      <c r="Y573"/>
      <c r="Z573"/>
      <c r="AA573"/>
      <c r="AB573"/>
      <c r="AC573"/>
      <c r="AD573"/>
      <c r="AE573"/>
      <c r="AF573"/>
      <c r="AG573"/>
      <c r="AH573"/>
      <c r="AI573"/>
    </row>
    <row r="574" spans="1:35" customHeight="1" ht="15">
      <c r="A574"/>
      <c r="B574" s="17" t="s">
        <v>968</v>
      </c>
      <c r="C574" s="18" t="s">
        <v>969</v>
      </c>
      <c r="D574" s="23">
        <v>0</v>
      </c>
      <c r="E574" s="24">
        <v>0</v>
      </c>
      <c r="F574" s="25">
        <v>0</v>
      </c>
      <c r="G574" s="26">
        <v>0</v>
      </c>
      <c r="H574" s="26">
        <v>0</v>
      </c>
      <c r="I574" s="22">
        <v>0</v>
      </c>
      <c r="J574" s="22">
        <v>0</v>
      </c>
      <c r="K574"/>
      <c r="L574"/>
      <c r="M574"/>
      <c r="N574"/>
      <c r="O574"/>
      <c r="P574"/>
      <c r="Q574"/>
      <c r="R574"/>
      <c r="S574"/>
      <c r="T574"/>
      <c r="U574"/>
      <c r="V574"/>
      <c r="W574"/>
      <c r="X574"/>
      <c r="Y574"/>
      <c r="Z574"/>
      <c r="AA574"/>
      <c r="AB574"/>
      <c r="AC574"/>
      <c r="AD574"/>
      <c r="AE574"/>
      <c r="AF574"/>
      <c r="AG574"/>
      <c r="AH574"/>
      <c r="AI574"/>
    </row>
    <row r="575" spans="1:35" customHeight="1" ht="15">
      <c r="A575"/>
      <c r="B575" s="17" t="s">
        <v>970</v>
      </c>
      <c r="C575" s="18" t="s">
        <v>971</v>
      </c>
      <c r="D575" s="23">
        <v>0</v>
      </c>
      <c r="E575" s="24">
        <v>0</v>
      </c>
      <c r="F575" s="25">
        <v>0</v>
      </c>
      <c r="G575" s="26">
        <v>0</v>
      </c>
      <c r="H575" s="26">
        <v>0</v>
      </c>
      <c r="I575" s="22">
        <v>0</v>
      </c>
      <c r="J575" s="22">
        <v>0</v>
      </c>
      <c r="K575"/>
      <c r="L575"/>
      <c r="M575"/>
      <c r="N575"/>
      <c r="O575"/>
      <c r="P575"/>
      <c r="Q575"/>
      <c r="R575"/>
      <c r="S575"/>
      <c r="T575"/>
      <c r="U575"/>
      <c r="V575"/>
      <c r="W575"/>
      <c r="X575"/>
      <c r="Y575"/>
      <c r="Z575"/>
      <c r="AA575"/>
      <c r="AB575"/>
      <c r="AC575"/>
      <c r="AD575"/>
      <c r="AE575"/>
      <c r="AF575"/>
      <c r="AG575"/>
      <c r="AH575"/>
      <c r="AI575"/>
    </row>
    <row r="576" spans="1:35" customHeight="1" ht="15">
      <c r="A576"/>
      <c r="B576" s="17" t="s">
        <v>972</v>
      </c>
      <c r="C576" s="18" t="s">
        <v>973</v>
      </c>
      <c r="D576" s="23">
        <v>0</v>
      </c>
      <c r="E576" s="24">
        <v>0</v>
      </c>
      <c r="F576" s="25">
        <v>0</v>
      </c>
      <c r="G576" s="26">
        <v>0</v>
      </c>
      <c r="H576" s="26">
        <v>0</v>
      </c>
      <c r="I576" s="22">
        <v>0</v>
      </c>
      <c r="J576" s="22">
        <v>0</v>
      </c>
      <c r="K576"/>
      <c r="L576"/>
      <c r="M576"/>
      <c r="N576"/>
      <c r="O576"/>
      <c r="P576"/>
      <c r="Q576"/>
      <c r="R576"/>
      <c r="S576"/>
      <c r="T576"/>
      <c r="U576"/>
      <c r="V576"/>
      <c r="W576"/>
      <c r="X576"/>
      <c r="Y576"/>
      <c r="Z576"/>
      <c r="AA576"/>
      <c r="AB576"/>
      <c r="AC576"/>
      <c r="AD576"/>
      <c r="AE576"/>
      <c r="AF576"/>
      <c r="AG576"/>
      <c r="AH576"/>
      <c r="AI576"/>
    </row>
    <row r="577" spans="1:35" customHeight="1" ht="15">
      <c r="A577"/>
      <c r="B577" s="17" t="s">
        <v>974</v>
      </c>
      <c r="C577" s="18" t="s">
        <v>975</v>
      </c>
      <c r="D577" s="23">
        <v>0</v>
      </c>
      <c r="E577" s="24">
        <v>0</v>
      </c>
      <c r="F577" s="25">
        <v>0</v>
      </c>
      <c r="G577" s="26">
        <v>0</v>
      </c>
      <c r="H577" s="26">
        <v>0</v>
      </c>
      <c r="I577" s="22">
        <v>0</v>
      </c>
      <c r="J577" s="22">
        <v>0</v>
      </c>
      <c r="K577"/>
      <c r="L577"/>
      <c r="M577"/>
      <c r="N577"/>
      <c r="O577"/>
      <c r="P577"/>
      <c r="Q577"/>
      <c r="R577"/>
      <c r="S577"/>
      <c r="T577"/>
      <c r="U577"/>
      <c r="V577"/>
      <c r="W577"/>
      <c r="X577"/>
      <c r="Y577"/>
      <c r="Z577"/>
      <c r="AA577"/>
      <c r="AB577"/>
      <c r="AC577"/>
      <c r="AD577"/>
      <c r="AE577"/>
      <c r="AF577"/>
      <c r="AG577"/>
      <c r="AH577"/>
      <c r="AI577"/>
    </row>
    <row r="578" spans="1:35" customHeight="1" ht="15">
      <c r="A578"/>
      <c r="B578" s="17" t="s">
        <v>976</v>
      </c>
      <c r="C578" s="18" t="s">
        <v>977</v>
      </c>
      <c r="D578" s="23">
        <v>0</v>
      </c>
      <c r="E578" s="24">
        <v>0</v>
      </c>
      <c r="F578" s="25">
        <v>0</v>
      </c>
      <c r="G578" s="26">
        <v>0</v>
      </c>
      <c r="H578" s="26">
        <v>0</v>
      </c>
      <c r="I578" s="22">
        <v>0</v>
      </c>
      <c r="J578" s="22">
        <v>0</v>
      </c>
      <c r="K578"/>
      <c r="L578"/>
      <c r="M578"/>
      <c r="N578"/>
      <c r="O578"/>
      <c r="P578"/>
      <c r="Q578"/>
      <c r="R578"/>
      <c r="S578"/>
      <c r="T578"/>
      <c r="U578"/>
      <c r="V578"/>
      <c r="W578"/>
      <c r="X578"/>
      <c r="Y578"/>
      <c r="Z578"/>
      <c r="AA578"/>
      <c r="AB578"/>
      <c r="AC578"/>
      <c r="AD578"/>
      <c r="AE578"/>
      <c r="AF578"/>
      <c r="AG578"/>
      <c r="AH578"/>
      <c r="AI578"/>
    </row>
    <row r="579" spans="1:35" customHeight="1" ht="15">
      <c r="A579"/>
      <c r="B579" s="17" t="s">
        <v>978</v>
      </c>
      <c r="C579" s="18" t="s">
        <v>979</v>
      </c>
      <c r="D579" s="23">
        <v>0</v>
      </c>
      <c r="E579" s="24">
        <v>0</v>
      </c>
      <c r="F579" s="25">
        <v>0</v>
      </c>
      <c r="G579" s="26">
        <v>0</v>
      </c>
      <c r="H579" s="26">
        <v>0</v>
      </c>
      <c r="I579" s="22">
        <v>0</v>
      </c>
      <c r="J579" s="22">
        <v>0</v>
      </c>
      <c r="K579"/>
      <c r="L579"/>
      <c r="M579"/>
      <c r="N579"/>
      <c r="O579"/>
      <c r="P579"/>
      <c r="Q579"/>
      <c r="R579"/>
      <c r="S579"/>
      <c r="T579"/>
      <c r="U579"/>
      <c r="V579"/>
      <c r="W579"/>
      <c r="X579"/>
      <c r="Y579"/>
      <c r="Z579"/>
      <c r="AA579"/>
      <c r="AB579"/>
      <c r="AC579"/>
      <c r="AD579"/>
      <c r="AE579"/>
      <c r="AF579"/>
      <c r="AG579"/>
      <c r="AH579"/>
      <c r="AI579"/>
    </row>
    <row r="580" spans="1:35" customHeight="1" ht="15">
      <c r="A580"/>
      <c r="B580" s="17" t="s">
        <v>980</v>
      </c>
      <c r="C580" s="18" t="s">
        <v>981</v>
      </c>
      <c r="D580" s="23">
        <v>0</v>
      </c>
      <c r="E580" s="24">
        <v>0</v>
      </c>
      <c r="F580" s="25">
        <v>0</v>
      </c>
      <c r="G580" s="26">
        <v>0</v>
      </c>
      <c r="H580" s="26">
        <v>0</v>
      </c>
      <c r="I580" s="22">
        <v>0</v>
      </c>
      <c r="J580" s="22">
        <v>0</v>
      </c>
      <c r="K580"/>
      <c r="L580"/>
      <c r="M580"/>
      <c r="N580"/>
      <c r="O580"/>
      <c r="P580"/>
      <c r="Q580"/>
      <c r="R580"/>
      <c r="S580"/>
      <c r="T580"/>
      <c r="U580"/>
      <c r="V580"/>
      <c r="W580"/>
      <c r="X580"/>
      <c r="Y580"/>
      <c r="Z580"/>
      <c r="AA580"/>
      <c r="AB580"/>
      <c r="AC580"/>
      <c r="AD580"/>
      <c r="AE580"/>
      <c r="AF580"/>
      <c r="AG580"/>
      <c r="AH580"/>
      <c r="AI580"/>
    </row>
    <row r="581" spans="1:35" customHeight="1" ht="15">
      <c r="A581"/>
      <c r="B581" s="17" t="s">
        <v>982</v>
      </c>
      <c r="C581" s="18" t="s">
        <v>983</v>
      </c>
      <c r="D581" s="23">
        <v>0</v>
      </c>
      <c r="E581" s="24">
        <v>0</v>
      </c>
      <c r="F581" s="25">
        <v>0</v>
      </c>
      <c r="G581" s="26">
        <v>0</v>
      </c>
      <c r="H581" s="26">
        <v>0</v>
      </c>
      <c r="I581" s="22">
        <v>0</v>
      </c>
      <c r="J581" s="22">
        <v>0</v>
      </c>
      <c r="K581"/>
      <c r="L581"/>
      <c r="M581"/>
      <c r="N581"/>
      <c r="O581"/>
      <c r="P581"/>
      <c r="Q581"/>
      <c r="R581"/>
      <c r="S581"/>
      <c r="T581"/>
      <c r="U581"/>
      <c r="V581"/>
      <c r="W581"/>
      <c r="X581"/>
      <c r="Y581"/>
      <c r="Z581"/>
      <c r="AA581"/>
      <c r="AB581"/>
      <c r="AC581"/>
      <c r="AD581"/>
      <c r="AE581"/>
      <c r="AF581"/>
      <c r="AG581"/>
      <c r="AH581"/>
      <c r="AI581"/>
    </row>
    <row r="582" spans="1:35" customHeight="1" ht="15">
      <c r="A582"/>
      <c r="B582" s="17" t="s">
        <v>984</v>
      </c>
      <c r="C582" s="18" t="s">
        <v>985</v>
      </c>
      <c r="D582" s="23">
        <v>0</v>
      </c>
      <c r="E582" s="24">
        <v>0</v>
      </c>
      <c r="F582" s="25">
        <v>0</v>
      </c>
      <c r="G582" s="26">
        <v>0</v>
      </c>
      <c r="H582" s="26">
        <v>0</v>
      </c>
      <c r="I582" s="22">
        <v>0</v>
      </c>
      <c r="J582" s="22">
        <v>0</v>
      </c>
      <c r="K582"/>
      <c r="L582"/>
      <c r="M582"/>
      <c r="N582"/>
      <c r="O582"/>
      <c r="P582"/>
      <c r="Q582"/>
      <c r="R582"/>
      <c r="S582"/>
      <c r="T582"/>
      <c r="U582"/>
      <c r="V582"/>
      <c r="W582"/>
      <c r="X582"/>
      <c r="Y582"/>
      <c r="Z582"/>
      <c r="AA582"/>
      <c r="AB582"/>
      <c r="AC582"/>
      <c r="AD582"/>
      <c r="AE582"/>
      <c r="AF582"/>
      <c r="AG582"/>
      <c r="AH582"/>
      <c r="AI582"/>
    </row>
    <row r="583" spans="1:35" customHeight="1" ht="15">
      <c r="A583"/>
      <c r="B583" s="17" t="s">
        <v>986</v>
      </c>
      <c r="C583" s="18" t="s">
        <v>987</v>
      </c>
      <c r="D583" s="23">
        <v>0</v>
      </c>
      <c r="E583" s="24">
        <v>0</v>
      </c>
      <c r="F583" s="25">
        <v>0</v>
      </c>
      <c r="G583" s="26">
        <v>0</v>
      </c>
      <c r="H583" s="26">
        <v>0</v>
      </c>
      <c r="I583" s="22">
        <v>0</v>
      </c>
      <c r="J583" s="22">
        <v>0</v>
      </c>
      <c r="K583"/>
      <c r="L583"/>
      <c r="M583"/>
      <c r="N583"/>
      <c r="O583"/>
      <c r="P583"/>
      <c r="Q583"/>
      <c r="R583"/>
      <c r="S583"/>
      <c r="T583"/>
      <c r="U583"/>
      <c r="V583"/>
      <c r="W583"/>
      <c r="X583"/>
      <c r="Y583"/>
      <c r="Z583"/>
      <c r="AA583"/>
      <c r="AB583"/>
      <c r="AC583"/>
      <c r="AD583"/>
      <c r="AE583"/>
      <c r="AF583"/>
      <c r="AG583"/>
      <c r="AH583"/>
      <c r="AI583"/>
    </row>
    <row r="584" spans="1:35" customHeight="1" ht="15">
      <c r="A584"/>
      <c r="B584" s="17" t="s">
        <v>988</v>
      </c>
      <c r="C584" s="18" t="s">
        <v>989</v>
      </c>
      <c r="D584" s="23">
        <v>0</v>
      </c>
      <c r="E584" s="24">
        <v>0</v>
      </c>
      <c r="F584" s="25">
        <v>0</v>
      </c>
      <c r="G584" s="26">
        <v>0</v>
      </c>
      <c r="H584" s="26">
        <v>0</v>
      </c>
      <c r="I584" s="22">
        <v>0</v>
      </c>
      <c r="J584" s="22">
        <v>0</v>
      </c>
      <c r="K584"/>
      <c r="L584"/>
      <c r="M584"/>
      <c r="N584"/>
      <c r="O584"/>
      <c r="P584"/>
      <c r="Q584"/>
      <c r="R584"/>
      <c r="S584"/>
      <c r="T584"/>
      <c r="U584"/>
      <c r="V584"/>
      <c r="W584"/>
      <c r="X584"/>
      <c r="Y584"/>
      <c r="Z584"/>
      <c r="AA584"/>
      <c r="AB584"/>
      <c r="AC584"/>
      <c r="AD584"/>
      <c r="AE584"/>
      <c r="AF584"/>
      <c r="AG584"/>
      <c r="AH584"/>
      <c r="AI584"/>
    </row>
    <row r="585" spans="1:35" customHeight="1" ht="15">
      <c r="A585"/>
      <c r="B585" s="17" t="s">
        <v>990</v>
      </c>
      <c r="C585" s="18" t="s">
        <v>991</v>
      </c>
      <c r="D585" s="23">
        <v>0</v>
      </c>
      <c r="E585" s="24">
        <v>0</v>
      </c>
      <c r="F585" s="25">
        <v>0</v>
      </c>
      <c r="G585" s="26">
        <v>0</v>
      </c>
      <c r="H585" s="26">
        <v>0</v>
      </c>
      <c r="I585" s="22">
        <v>0</v>
      </c>
      <c r="J585" s="22">
        <v>0</v>
      </c>
      <c r="K585"/>
      <c r="L585"/>
      <c r="M585"/>
      <c r="N585"/>
      <c r="O585"/>
      <c r="P585"/>
      <c r="Q585"/>
      <c r="R585"/>
      <c r="S585"/>
      <c r="T585"/>
      <c r="U585"/>
      <c r="V585"/>
      <c r="W585"/>
      <c r="X585"/>
      <c r="Y585"/>
      <c r="Z585"/>
      <c r="AA585"/>
      <c r="AB585"/>
      <c r="AC585"/>
      <c r="AD585"/>
      <c r="AE585"/>
      <c r="AF585"/>
      <c r="AG585"/>
      <c r="AH585"/>
      <c r="AI585"/>
    </row>
    <row r="586" spans="1:35" customHeight="1" ht="15">
      <c r="A586"/>
      <c r="B586" s="17" t="s">
        <v>992</v>
      </c>
      <c r="C586" s="18" t="s">
        <v>993</v>
      </c>
      <c r="D586" s="23">
        <v>0</v>
      </c>
      <c r="E586" s="24">
        <v>0</v>
      </c>
      <c r="F586" s="25">
        <v>0</v>
      </c>
      <c r="G586" s="26">
        <v>0</v>
      </c>
      <c r="H586" s="26">
        <v>0</v>
      </c>
      <c r="I586" s="22">
        <v>0</v>
      </c>
      <c r="J586" s="22">
        <v>0</v>
      </c>
      <c r="K586"/>
      <c r="L586"/>
      <c r="M586"/>
      <c r="N586"/>
      <c r="O586"/>
      <c r="P586"/>
      <c r="Q586"/>
      <c r="R586"/>
      <c r="S586"/>
      <c r="T586"/>
      <c r="U586"/>
      <c r="V586"/>
      <c r="W586"/>
      <c r="X586"/>
      <c r="Y586"/>
      <c r="Z586"/>
      <c r="AA586"/>
      <c r="AB586"/>
      <c r="AC586"/>
      <c r="AD586"/>
      <c r="AE586"/>
      <c r="AF586"/>
      <c r="AG586"/>
      <c r="AH586"/>
      <c r="AI586"/>
    </row>
    <row r="587" spans="1:35" customHeight="1" ht="15">
      <c r="A587"/>
      <c r="B587" s="17" t="s">
        <v>994</v>
      </c>
      <c r="C587" s="18" t="s">
        <v>995</v>
      </c>
      <c r="D587" s="23">
        <v>0</v>
      </c>
      <c r="E587" s="24">
        <v>0</v>
      </c>
      <c r="F587" s="25">
        <v>0</v>
      </c>
      <c r="G587" s="26">
        <v>0</v>
      </c>
      <c r="H587" s="26">
        <v>0</v>
      </c>
      <c r="I587" s="22">
        <v>0</v>
      </c>
      <c r="J587" s="22">
        <v>0</v>
      </c>
      <c r="K587"/>
      <c r="L587"/>
      <c r="M587"/>
      <c r="N587"/>
      <c r="O587"/>
      <c r="P587"/>
      <c r="Q587"/>
      <c r="R587"/>
      <c r="S587"/>
      <c r="T587"/>
      <c r="U587"/>
      <c r="V587"/>
      <c r="W587"/>
      <c r="X587"/>
      <c r="Y587"/>
      <c r="Z587"/>
      <c r="AA587"/>
      <c r="AB587"/>
      <c r="AC587"/>
      <c r="AD587"/>
      <c r="AE587"/>
      <c r="AF587"/>
      <c r="AG587"/>
      <c r="AH587"/>
      <c r="AI587"/>
    </row>
    <row r="588" spans="1:35" customHeight="1" ht="15">
      <c r="A588"/>
      <c r="B588" s="17" t="s">
        <v>996</v>
      </c>
      <c r="C588" s="18" t="s">
        <v>997</v>
      </c>
      <c r="D588" s="23">
        <v>0</v>
      </c>
      <c r="E588" s="24">
        <v>0</v>
      </c>
      <c r="F588" s="25">
        <v>0</v>
      </c>
      <c r="G588" s="26">
        <v>0</v>
      </c>
      <c r="H588" s="26">
        <v>0</v>
      </c>
      <c r="I588" s="22">
        <v>0</v>
      </c>
      <c r="J588" s="22">
        <v>0</v>
      </c>
      <c r="K588"/>
      <c r="L588"/>
      <c r="M588"/>
      <c r="N588"/>
      <c r="O588"/>
      <c r="P588"/>
      <c r="Q588"/>
      <c r="R588"/>
      <c r="S588"/>
      <c r="T588"/>
      <c r="U588"/>
      <c r="V588"/>
      <c r="W588"/>
      <c r="X588"/>
      <c r="Y588"/>
      <c r="Z588"/>
      <c r="AA588"/>
      <c r="AB588"/>
      <c r="AC588"/>
      <c r="AD588"/>
      <c r="AE588"/>
      <c r="AF588"/>
      <c r="AG588"/>
      <c r="AH588"/>
      <c r="AI588"/>
    </row>
    <row r="589" spans="1:35" customHeight="1" ht="15">
      <c r="A589"/>
      <c r="B589" s="17" t="s">
        <v>998</v>
      </c>
      <c r="C589" s="18" t="s">
        <v>999</v>
      </c>
      <c r="D589" s="23">
        <v>0</v>
      </c>
      <c r="E589" s="24">
        <v>0</v>
      </c>
      <c r="F589" s="25">
        <v>0</v>
      </c>
      <c r="G589" s="26">
        <v>0</v>
      </c>
      <c r="H589" s="26">
        <v>0</v>
      </c>
      <c r="I589" s="22">
        <v>0</v>
      </c>
      <c r="J589" s="22">
        <v>0</v>
      </c>
      <c r="K589"/>
      <c r="L589"/>
      <c r="M589"/>
      <c r="N589"/>
      <c r="O589"/>
      <c r="P589"/>
      <c r="Q589"/>
      <c r="R589"/>
      <c r="S589"/>
      <c r="T589"/>
      <c r="U589"/>
      <c r="V589"/>
      <c r="W589"/>
      <c r="X589"/>
      <c r="Y589"/>
      <c r="Z589"/>
      <c r="AA589"/>
      <c r="AB589"/>
      <c r="AC589"/>
      <c r="AD589"/>
      <c r="AE589"/>
      <c r="AF589"/>
      <c r="AG589"/>
      <c r="AH589"/>
      <c r="AI589"/>
    </row>
    <row r="590" spans="1:35" customHeight="1" ht="15">
      <c r="A590"/>
      <c r="B590" s="17" t="s">
        <v>1000</v>
      </c>
      <c r="C590" s="18" t="s">
        <v>1001</v>
      </c>
      <c r="D590" s="23">
        <v>0</v>
      </c>
      <c r="E590" s="24">
        <v>0</v>
      </c>
      <c r="F590" s="25">
        <v>0</v>
      </c>
      <c r="G590" s="26">
        <v>0</v>
      </c>
      <c r="H590" s="26">
        <v>0</v>
      </c>
      <c r="I590" s="22">
        <v>0</v>
      </c>
      <c r="J590" s="22">
        <v>0</v>
      </c>
      <c r="K590"/>
      <c r="L590"/>
      <c r="M590"/>
      <c r="N590"/>
      <c r="O590"/>
      <c r="P590"/>
      <c r="Q590"/>
      <c r="R590"/>
      <c r="S590"/>
      <c r="T590"/>
      <c r="U590"/>
      <c r="V590"/>
      <c r="W590"/>
      <c r="X590"/>
      <c r="Y590"/>
      <c r="Z590"/>
      <c r="AA590"/>
      <c r="AB590"/>
      <c r="AC590"/>
      <c r="AD590"/>
      <c r="AE590"/>
      <c r="AF590"/>
      <c r="AG590"/>
      <c r="AH590"/>
      <c r="AI590"/>
    </row>
    <row r="591" spans="1:35" customHeight="1" ht="15">
      <c r="A591"/>
      <c r="B591" s="17" t="s">
        <v>1002</v>
      </c>
      <c r="C591" s="18" t="s">
        <v>1003</v>
      </c>
      <c r="D591" s="23">
        <v>0</v>
      </c>
      <c r="E591" s="24">
        <v>0</v>
      </c>
      <c r="F591" s="25">
        <v>0</v>
      </c>
      <c r="G591" s="26">
        <v>0</v>
      </c>
      <c r="H591" s="26">
        <v>0</v>
      </c>
      <c r="I591" s="22">
        <v>0</v>
      </c>
      <c r="J591" s="22">
        <v>0</v>
      </c>
      <c r="K591"/>
      <c r="L591"/>
      <c r="M591"/>
      <c r="N591"/>
      <c r="O591"/>
      <c r="P591"/>
      <c r="Q591"/>
      <c r="R591"/>
      <c r="S591"/>
      <c r="T591"/>
      <c r="U591"/>
      <c r="V591"/>
      <c r="W591"/>
      <c r="X591"/>
      <c r="Y591"/>
      <c r="Z591"/>
      <c r="AA591"/>
      <c r="AB591"/>
      <c r="AC591"/>
      <c r="AD591"/>
      <c r="AE591"/>
      <c r="AF591"/>
      <c r="AG591"/>
      <c r="AH591"/>
      <c r="AI591"/>
    </row>
    <row r="592" spans="1:35" customHeight="1" ht="15">
      <c r="A592"/>
      <c r="B592" s="17" t="s">
        <v>1004</v>
      </c>
      <c r="C592" s="18" t="s">
        <v>1005</v>
      </c>
      <c r="D592" s="23">
        <v>0</v>
      </c>
      <c r="E592" s="24">
        <v>0</v>
      </c>
      <c r="F592" s="25">
        <v>0</v>
      </c>
      <c r="G592" s="26">
        <v>0</v>
      </c>
      <c r="H592" s="26">
        <v>0</v>
      </c>
      <c r="I592" s="22">
        <v>0</v>
      </c>
      <c r="J592" s="22">
        <v>0</v>
      </c>
      <c r="K592"/>
      <c r="L592"/>
      <c r="M592"/>
      <c r="N592"/>
      <c r="O592"/>
      <c r="P592"/>
      <c r="Q592"/>
      <c r="R592"/>
      <c r="S592"/>
      <c r="T592"/>
      <c r="U592"/>
      <c r="V592"/>
      <c r="W592"/>
      <c r="X592"/>
      <c r="Y592"/>
      <c r="Z592"/>
      <c r="AA592"/>
      <c r="AB592"/>
      <c r="AC592"/>
      <c r="AD592"/>
      <c r="AE592"/>
      <c r="AF592"/>
      <c r="AG592"/>
      <c r="AH592"/>
      <c r="AI592"/>
    </row>
    <row r="593" spans="1:35" customHeight="1" ht="15">
      <c r="A593"/>
      <c r="B593" s="17" t="s">
        <v>1006</v>
      </c>
      <c r="C593" s="18" t="s">
        <v>1007</v>
      </c>
      <c r="D593" s="23">
        <v>0</v>
      </c>
      <c r="E593" s="24">
        <v>0</v>
      </c>
      <c r="F593" s="25">
        <v>0</v>
      </c>
      <c r="G593" s="26">
        <v>0</v>
      </c>
      <c r="H593" s="26">
        <v>0</v>
      </c>
      <c r="I593" s="22">
        <v>0</v>
      </c>
      <c r="J593" s="22">
        <v>0</v>
      </c>
      <c r="K593"/>
      <c r="L593"/>
      <c r="M593"/>
      <c r="N593"/>
      <c r="O593"/>
      <c r="P593"/>
      <c r="Q593"/>
      <c r="R593"/>
      <c r="S593"/>
      <c r="T593"/>
      <c r="U593"/>
      <c r="V593"/>
      <c r="W593"/>
      <c r="X593"/>
      <c r="Y593"/>
      <c r="Z593"/>
      <c r="AA593"/>
      <c r="AB593"/>
      <c r="AC593"/>
      <c r="AD593"/>
      <c r="AE593"/>
      <c r="AF593"/>
      <c r="AG593"/>
      <c r="AH593"/>
      <c r="AI593"/>
    </row>
    <row r="594" spans="1:35" customHeight="1" ht="15">
      <c r="A594"/>
      <c r="B594" s="17" t="s">
        <v>1008</v>
      </c>
      <c r="C594" s="18" t="s">
        <v>1009</v>
      </c>
      <c r="D594" s="23">
        <v>0</v>
      </c>
      <c r="E594" s="24">
        <v>0</v>
      </c>
      <c r="F594" s="25">
        <v>0</v>
      </c>
      <c r="G594" s="26">
        <v>0</v>
      </c>
      <c r="H594" s="26">
        <v>0</v>
      </c>
      <c r="I594" s="22">
        <v>0</v>
      </c>
      <c r="J594" s="22">
        <v>0</v>
      </c>
      <c r="K594"/>
      <c r="L594"/>
      <c r="M594"/>
      <c r="N594"/>
      <c r="O594"/>
      <c r="P594"/>
      <c r="Q594"/>
      <c r="R594"/>
      <c r="S594"/>
      <c r="T594"/>
      <c r="U594"/>
      <c r="V594"/>
      <c r="W594"/>
      <c r="X594"/>
      <c r="Y594"/>
      <c r="Z594"/>
      <c r="AA594"/>
      <c r="AB594"/>
      <c r="AC594"/>
      <c r="AD594"/>
      <c r="AE594"/>
      <c r="AF594"/>
      <c r="AG594"/>
      <c r="AH594"/>
      <c r="AI594"/>
    </row>
    <row r="595" spans="1:35" customHeight="1" ht="15">
      <c r="A595"/>
      <c r="B595" s="17" t="s">
        <v>1010</v>
      </c>
      <c r="C595" s="18" t="s">
        <v>1011</v>
      </c>
      <c r="D595" s="23">
        <v>0</v>
      </c>
      <c r="E595" s="24">
        <v>0</v>
      </c>
      <c r="F595" s="25">
        <v>0</v>
      </c>
      <c r="G595" s="26">
        <v>0</v>
      </c>
      <c r="H595" s="26">
        <v>0</v>
      </c>
      <c r="I595" s="22">
        <v>0</v>
      </c>
      <c r="J595" s="22">
        <v>0</v>
      </c>
      <c r="K595"/>
      <c r="L595"/>
      <c r="M595"/>
      <c r="N595"/>
      <c r="O595"/>
      <c r="P595"/>
      <c r="Q595"/>
      <c r="R595"/>
      <c r="S595"/>
      <c r="T595"/>
      <c r="U595"/>
      <c r="V595"/>
      <c r="W595"/>
      <c r="X595"/>
      <c r="Y595"/>
      <c r="Z595"/>
      <c r="AA595"/>
      <c r="AB595"/>
      <c r="AC595"/>
      <c r="AD595"/>
      <c r="AE595"/>
      <c r="AF595"/>
      <c r="AG595"/>
      <c r="AH595"/>
      <c r="AI595"/>
    </row>
    <row r="596" spans="1:35" customHeight="1" ht="15">
      <c r="A596"/>
      <c r="B596" s="17" t="s">
        <v>1012</v>
      </c>
      <c r="C596" s="18" t="s">
        <v>1013</v>
      </c>
      <c r="D596" s="23">
        <v>0</v>
      </c>
      <c r="E596" s="24">
        <v>0</v>
      </c>
      <c r="F596" s="25">
        <v>0</v>
      </c>
      <c r="G596" s="26">
        <v>0</v>
      </c>
      <c r="H596" s="26">
        <v>0</v>
      </c>
      <c r="I596" s="22">
        <v>0</v>
      </c>
      <c r="J596" s="22">
        <v>0</v>
      </c>
      <c r="K596"/>
      <c r="L596"/>
      <c r="M596"/>
      <c r="N596"/>
      <c r="O596"/>
      <c r="P596"/>
      <c r="Q596"/>
      <c r="R596"/>
      <c r="S596"/>
      <c r="T596"/>
      <c r="U596"/>
      <c r="V596"/>
      <c r="W596"/>
      <c r="X596"/>
      <c r="Y596"/>
      <c r="Z596"/>
      <c r="AA596"/>
      <c r="AB596"/>
      <c r="AC596"/>
      <c r="AD596"/>
      <c r="AE596"/>
      <c r="AF596"/>
      <c r="AG596"/>
      <c r="AH596"/>
      <c r="AI596"/>
    </row>
    <row r="597" spans="1:35" customHeight="1" ht="15">
      <c r="A597"/>
      <c r="B597" s="17" t="s">
        <v>1014</v>
      </c>
      <c r="C597" s="18" t="s">
        <v>1015</v>
      </c>
      <c r="D597" s="23">
        <v>0</v>
      </c>
      <c r="E597" s="24">
        <v>0</v>
      </c>
      <c r="F597" s="25">
        <v>0</v>
      </c>
      <c r="G597" s="26">
        <v>0</v>
      </c>
      <c r="H597" s="26">
        <v>0</v>
      </c>
      <c r="I597" s="22">
        <v>0</v>
      </c>
      <c r="J597" s="22">
        <v>0</v>
      </c>
      <c r="K597"/>
      <c r="L597"/>
      <c r="M597"/>
      <c r="N597"/>
      <c r="O597"/>
      <c r="P597"/>
      <c r="Q597"/>
      <c r="R597"/>
      <c r="S597"/>
      <c r="T597"/>
      <c r="U597"/>
      <c r="V597"/>
      <c r="W597"/>
      <c r="X597"/>
      <c r="Y597"/>
      <c r="Z597"/>
      <c r="AA597"/>
      <c r="AB597"/>
      <c r="AC597"/>
      <c r="AD597"/>
      <c r="AE597"/>
      <c r="AF597"/>
      <c r="AG597"/>
      <c r="AH597"/>
      <c r="AI597"/>
    </row>
    <row r="598" spans="1:35" customHeight="1" ht="15">
      <c r="A598"/>
      <c r="B598" s="17" t="s">
        <v>1016</v>
      </c>
      <c r="C598" s="18" t="s">
        <v>1017</v>
      </c>
      <c r="D598" s="23">
        <v>0</v>
      </c>
      <c r="E598" s="24">
        <v>0</v>
      </c>
      <c r="F598" s="25">
        <v>0</v>
      </c>
      <c r="G598" s="26">
        <v>0</v>
      </c>
      <c r="H598" s="26">
        <v>0</v>
      </c>
      <c r="I598" s="22">
        <v>0</v>
      </c>
      <c r="J598" s="22">
        <v>0</v>
      </c>
      <c r="K598"/>
      <c r="L598"/>
      <c r="M598"/>
      <c r="N598"/>
      <c r="O598"/>
      <c r="P598"/>
      <c r="Q598"/>
      <c r="R598"/>
      <c r="S598"/>
      <c r="T598"/>
      <c r="U598"/>
      <c r="V598"/>
      <c r="W598"/>
      <c r="X598"/>
      <c r="Y598"/>
      <c r="Z598"/>
      <c r="AA598"/>
      <c r="AB598"/>
      <c r="AC598"/>
      <c r="AD598"/>
      <c r="AE598"/>
      <c r="AF598"/>
      <c r="AG598"/>
      <c r="AH598"/>
      <c r="AI598"/>
    </row>
    <row r="599" spans="1:35" customHeight="1" ht="15">
      <c r="A599"/>
      <c r="B599" s="17" t="s">
        <v>1018</v>
      </c>
      <c r="C599" s="18" t="s">
        <v>1019</v>
      </c>
      <c r="D599" s="23">
        <v>0</v>
      </c>
      <c r="E599" s="24">
        <v>0</v>
      </c>
      <c r="F599" s="25">
        <v>0</v>
      </c>
      <c r="G599" s="26">
        <v>0</v>
      </c>
      <c r="H599" s="26">
        <v>0</v>
      </c>
      <c r="I599" s="22">
        <v>0</v>
      </c>
      <c r="J599" s="22">
        <v>0</v>
      </c>
      <c r="K599"/>
      <c r="L599"/>
      <c r="M599"/>
      <c r="N599"/>
      <c r="O599"/>
      <c r="P599"/>
      <c r="Q599"/>
      <c r="R599"/>
      <c r="S599"/>
      <c r="T599"/>
      <c r="U599"/>
      <c r="V599"/>
      <c r="W599"/>
      <c r="X599"/>
      <c r="Y599"/>
      <c r="Z599"/>
      <c r="AA599"/>
      <c r="AB599"/>
      <c r="AC599"/>
      <c r="AD599"/>
      <c r="AE599"/>
      <c r="AF599"/>
      <c r="AG599"/>
      <c r="AH599"/>
      <c r="AI599"/>
    </row>
    <row r="600" spans="1:35" customHeight="1" ht="15">
      <c r="A600"/>
      <c r="B600" s="71" t="s">
        <v>1020</v>
      </c>
      <c r="C600" s="72" t="s">
        <v>171</v>
      </c>
      <c r="D600" s="73"/>
      <c r="E600" s="74"/>
      <c r="F600" s="75">
        <v>0</v>
      </c>
      <c r="G600" s="76">
        <v>0</v>
      </c>
      <c r="H600" s="76">
        <f>F600+G600</f>
        <v>0</v>
      </c>
      <c r="I600" s="77">
        <v>0</v>
      </c>
      <c r="J600" s="22"/>
      <c r="K600"/>
      <c r="L600"/>
      <c r="M600"/>
      <c r="N600"/>
      <c r="O600"/>
      <c r="P600"/>
      <c r="Q600"/>
      <c r="R600"/>
      <c r="S600"/>
      <c r="T600"/>
      <c r="U600"/>
      <c r="V600"/>
      <c r="W600"/>
      <c r="X600"/>
      <c r="Y600"/>
      <c r="Z600"/>
      <c r="AA600"/>
      <c r="AB600"/>
      <c r="AC600"/>
      <c r="AD600"/>
      <c r="AE600"/>
      <c r="AF600"/>
      <c r="AG600"/>
      <c r="AH600"/>
      <c r="AI600"/>
    </row>
    <row r="601" spans="1:35" customHeight="1" ht="15">
      <c r="A601"/>
      <c r="B601" s="71" t="s">
        <v>1021</v>
      </c>
      <c r="C601" s="72" t="s">
        <v>1022</v>
      </c>
      <c r="D601" s="73"/>
      <c r="E601" s="74"/>
      <c r="F601" s="75">
        <v>0</v>
      </c>
      <c r="G601" s="76">
        <v>0</v>
      </c>
      <c r="H601" s="76">
        <f>F601+G601</f>
        <v>0</v>
      </c>
      <c r="I601" s="77">
        <v>0</v>
      </c>
      <c r="J601" s="22"/>
      <c r="K601"/>
      <c r="L601"/>
      <c r="M601"/>
      <c r="N601"/>
      <c r="O601"/>
      <c r="P601"/>
      <c r="Q601"/>
      <c r="R601"/>
      <c r="S601"/>
      <c r="T601"/>
      <c r="U601"/>
      <c r="V601"/>
      <c r="W601"/>
      <c r="X601"/>
      <c r="Y601"/>
      <c r="Z601"/>
      <c r="AA601"/>
      <c r="AB601"/>
      <c r="AC601"/>
      <c r="AD601"/>
      <c r="AE601"/>
      <c r="AF601"/>
      <c r="AG601"/>
      <c r="AH601"/>
      <c r="AI601"/>
    </row>
    <row r="602" spans="1:35" customHeight="1" ht="15">
      <c r="A602"/>
      <c r="B602" s="71" t="s">
        <v>1023</v>
      </c>
      <c r="C602" s="72" t="s">
        <v>1024</v>
      </c>
      <c r="D602" s="73"/>
      <c r="E602" s="74"/>
      <c r="F602" s="75">
        <v>0</v>
      </c>
      <c r="G602" s="76">
        <v>0</v>
      </c>
      <c r="H602" s="76">
        <f>F602+G602</f>
        <v>0</v>
      </c>
      <c r="I602" s="77">
        <v>0</v>
      </c>
      <c r="J602" s="22"/>
      <c r="K602"/>
      <c r="L602"/>
      <c r="M602"/>
      <c r="N602"/>
      <c r="O602"/>
      <c r="P602"/>
      <c r="Q602"/>
      <c r="R602"/>
      <c r="S602"/>
      <c r="T602"/>
      <c r="U602"/>
      <c r="V602"/>
      <c r="W602"/>
      <c r="X602"/>
      <c r="Y602"/>
      <c r="Z602"/>
      <c r="AA602"/>
      <c r="AB602"/>
      <c r="AC602"/>
      <c r="AD602"/>
      <c r="AE602"/>
      <c r="AF602"/>
      <c r="AG602"/>
      <c r="AH602"/>
      <c r="AI602"/>
    </row>
    <row r="603" spans="1:35" customHeight="1" ht="15">
      <c r="A603"/>
      <c r="B603" s="71" t="s">
        <v>1025</v>
      </c>
      <c r="C603" s="72" t="s">
        <v>1026</v>
      </c>
      <c r="D603" s="73"/>
      <c r="E603" s="74"/>
      <c r="F603" s="75">
        <v>0</v>
      </c>
      <c r="G603" s="76">
        <v>0</v>
      </c>
      <c r="H603" s="76">
        <f>F603+G603</f>
        <v>0</v>
      </c>
      <c r="I603" s="77">
        <v>0</v>
      </c>
      <c r="J603" s="22"/>
      <c r="K603"/>
      <c r="L603"/>
      <c r="M603"/>
      <c r="N603"/>
      <c r="O603"/>
      <c r="P603"/>
      <c r="Q603"/>
      <c r="R603"/>
      <c r="S603"/>
      <c r="T603"/>
      <c r="U603"/>
      <c r="V603"/>
      <c r="W603"/>
      <c r="X603"/>
      <c r="Y603"/>
      <c r="Z603"/>
      <c r="AA603"/>
      <c r="AB603"/>
      <c r="AC603"/>
      <c r="AD603"/>
      <c r="AE603"/>
      <c r="AF603"/>
      <c r="AG603"/>
      <c r="AH603"/>
      <c r="AI603"/>
    </row>
    <row r="604" spans="1:35" customHeight="1" ht="15">
      <c r="A604"/>
      <c r="B604" s="71" t="s">
        <v>1027</v>
      </c>
      <c r="C604" s="72" t="s">
        <v>1028</v>
      </c>
      <c r="D604" s="73"/>
      <c r="E604" s="74"/>
      <c r="F604" s="75">
        <v>0</v>
      </c>
      <c r="G604" s="76">
        <v>0</v>
      </c>
      <c r="H604" s="76">
        <f>F604+G604</f>
        <v>0</v>
      </c>
      <c r="I604" s="77">
        <v>0</v>
      </c>
      <c r="J604" s="22"/>
      <c r="K604"/>
      <c r="L604"/>
      <c r="M604"/>
      <c r="N604"/>
      <c r="O604"/>
      <c r="P604"/>
      <c r="Q604"/>
      <c r="R604"/>
      <c r="S604"/>
      <c r="T604"/>
      <c r="U604"/>
      <c r="V604"/>
      <c r="W604"/>
      <c r="X604"/>
      <c r="Y604"/>
      <c r="Z604"/>
      <c r="AA604"/>
      <c r="AB604"/>
      <c r="AC604"/>
      <c r="AD604"/>
      <c r="AE604"/>
      <c r="AF604"/>
      <c r="AG604"/>
      <c r="AH604"/>
      <c r="AI604"/>
    </row>
    <row r="605" spans="1:35" customHeight="1" ht="15">
      <c r="A605"/>
      <c r="B605" s="71" t="s">
        <v>1029</v>
      </c>
      <c r="C605" s="72" t="s">
        <v>1030</v>
      </c>
      <c r="D605" s="73"/>
      <c r="E605" s="74"/>
      <c r="F605" s="75">
        <v>0</v>
      </c>
      <c r="G605" s="76">
        <v>0</v>
      </c>
      <c r="H605" s="76">
        <f>F605+G605</f>
        <v>0</v>
      </c>
      <c r="I605" s="77">
        <v>0</v>
      </c>
      <c r="J605" s="22"/>
      <c r="K605"/>
      <c r="L605"/>
      <c r="M605"/>
      <c r="N605"/>
      <c r="O605"/>
      <c r="P605"/>
      <c r="Q605"/>
      <c r="R605"/>
      <c r="S605"/>
      <c r="T605"/>
      <c r="U605"/>
      <c r="V605"/>
      <c r="W605"/>
      <c r="X605"/>
      <c r="Y605"/>
      <c r="Z605"/>
      <c r="AA605"/>
      <c r="AB605"/>
      <c r="AC605"/>
      <c r="AD605"/>
      <c r="AE605"/>
      <c r="AF605"/>
      <c r="AG605"/>
      <c r="AH605"/>
      <c r="AI605"/>
    </row>
    <row r="606" spans="1:35" customHeight="1" ht="15">
      <c r="A606"/>
      <c r="B606" s="71" t="s">
        <v>1031</v>
      </c>
      <c r="C606" s="72" t="s">
        <v>1032</v>
      </c>
      <c r="D606" s="73"/>
      <c r="E606" s="74"/>
      <c r="F606" s="75">
        <v>0</v>
      </c>
      <c r="G606" s="76">
        <v>0</v>
      </c>
      <c r="H606" s="76">
        <f>F606+G606</f>
        <v>0</v>
      </c>
      <c r="I606" s="77">
        <v>0</v>
      </c>
      <c r="J606" s="22"/>
      <c r="K606"/>
      <c r="L606"/>
      <c r="M606"/>
      <c r="N606"/>
      <c r="O606"/>
      <c r="P606"/>
      <c r="Q606"/>
      <c r="R606"/>
      <c r="S606"/>
      <c r="T606"/>
      <c r="U606"/>
      <c r="V606"/>
      <c r="W606"/>
      <c r="X606"/>
      <c r="Y606"/>
      <c r="Z606"/>
      <c r="AA606"/>
      <c r="AB606"/>
      <c r="AC606"/>
      <c r="AD606"/>
      <c r="AE606"/>
      <c r="AF606"/>
      <c r="AG606"/>
      <c r="AH606"/>
      <c r="AI606"/>
    </row>
    <row r="607" spans="1:35" customHeight="1" ht="15">
      <c r="A607"/>
      <c r="B607" s="71" t="s">
        <v>1033</v>
      </c>
      <c r="C607" s="72" t="s">
        <v>1034</v>
      </c>
      <c r="D607" s="73"/>
      <c r="E607" s="74"/>
      <c r="F607" s="75">
        <v>0</v>
      </c>
      <c r="G607" s="76">
        <v>0</v>
      </c>
      <c r="H607" s="76">
        <f>F607+G607</f>
        <v>0</v>
      </c>
      <c r="I607" s="77">
        <v>0</v>
      </c>
      <c r="J607" s="22"/>
      <c r="K607"/>
      <c r="L607"/>
      <c r="M607"/>
      <c r="N607"/>
      <c r="O607"/>
      <c r="P607"/>
      <c r="Q607"/>
      <c r="R607"/>
      <c r="S607"/>
      <c r="T607"/>
      <c r="U607"/>
      <c r="V607"/>
      <c r="W607"/>
      <c r="X607"/>
      <c r="Y607"/>
      <c r="Z607"/>
      <c r="AA607"/>
      <c r="AB607"/>
      <c r="AC607"/>
      <c r="AD607"/>
      <c r="AE607"/>
      <c r="AF607"/>
      <c r="AG607"/>
      <c r="AH607"/>
      <c r="AI607"/>
    </row>
    <row r="608" spans="1:35" customHeight="1" ht="15">
      <c r="A608"/>
      <c r="B608" s="71" t="s">
        <v>1035</v>
      </c>
      <c r="C608" s="72" t="s">
        <v>1036</v>
      </c>
      <c r="D608" s="73"/>
      <c r="E608" s="74"/>
      <c r="F608" s="75">
        <v>0</v>
      </c>
      <c r="G608" s="76">
        <v>0</v>
      </c>
      <c r="H608" s="76">
        <f>F608+G608</f>
        <v>0</v>
      </c>
      <c r="I608" s="77">
        <v>0</v>
      </c>
      <c r="J608" s="22"/>
      <c r="K608"/>
      <c r="L608"/>
      <c r="M608"/>
      <c r="N608"/>
      <c r="O608"/>
      <c r="P608"/>
      <c r="Q608"/>
      <c r="R608"/>
      <c r="S608"/>
      <c r="T608"/>
      <c r="U608"/>
      <c r="V608"/>
      <c r="W608"/>
      <c r="X608"/>
      <c r="Y608"/>
      <c r="Z608"/>
      <c r="AA608"/>
      <c r="AB608"/>
      <c r="AC608"/>
      <c r="AD608"/>
      <c r="AE608"/>
      <c r="AF608"/>
      <c r="AG608"/>
      <c r="AH608"/>
      <c r="AI608"/>
    </row>
    <row r="609" spans="1:35" customHeight="1" ht="15">
      <c r="A609"/>
      <c r="B609" s="71" t="s">
        <v>1037</v>
      </c>
      <c r="C609" s="72" t="s">
        <v>1038</v>
      </c>
      <c r="D609" s="73"/>
      <c r="E609" s="74"/>
      <c r="F609" s="75">
        <v>0</v>
      </c>
      <c r="G609" s="76">
        <v>0</v>
      </c>
      <c r="H609" s="76">
        <f>F609+G609</f>
        <v>0</v>
      </c>
      <c r="I609" s="77">
        <v>0</v>
      </c>
      <c r="J609" s="22"/>
      <c r="K609"/>
      <c r="L609"/>
      <c r="M609"/>
      <c r="N609"/>
      <c r="O609"/>
      <c r="P609"/>
      <c r="Q609"/>
      <c r="R609"/>
      <c r="S609"/>
      <c r="T609"/>
      <c r="U609"/>
      <c r="V609"/>
      <c r="W609"/>
      <c r="X609"/>
      <c r="Y609"/>
      <c r="Z609"/>
      <c r="AA609"/>
      <c r="AB609"/>
      <c r="AC609"/>
      <c r="AD609"/>
      <c r="AE609"/>
      <c r="AF609"/>
      <c r="AG609"/>
      <c r="AH609"/>
      <c r="AI609"/>
    </row>
    <row r="610" spans="1:35" customHeight="1" ht="15">
      <c r="A610"/>
      <c r="B610" s="71" t="s">
        <v>1039</v>
      </c>
      <c r="C610" s="72" t="s">
        <v>1040</v>
      </c>
      <c r="D610" s="73"/>
      <c r="E610" s="74"/>
      <c r="F610" s="75">
        <v>0</v>
      </c>
      <c r="G610" s="76">
        <v>0</v>
      </c>
      <c r="H610" s="76">
        <f>F610+G610</f>
        <v>0</v>
      </c>
      <c r="I610" s="77">
        <v>0</v>
      </c>
      <c r="J610" s="22"/>
      <c r="K610"/>
      <c r="L610"/>
      <c r="M610"/>
      <c r="N610"/>
      <c r="O610"/>
      <c r="P610"/>
      <c r="Q610"/>
      <c r="R610"/>
      <c r="S610"/>
      <c r="T610"/>
      <c r="U610"/>
      <c r="V610"/>
      <c r="W610"/>
      <c r="X610"/>
      <c r="Y610"/>
      <c r="Z610"/>
      <c r="AA610"/>
      <c r="AB610"/>
      <c r="AC610"/>
      <c r="AD610"/>
      <c r="AE610"/>
      <c r="AF610"/>
      <c r="AG610"/>
      <c r="AH610"/>
      <c r="AI610"/>
    </row>
    <row r="611" spans="1:35" customHeight="1" ht="15">
      <c r="A611"/>
      <c r="B611" s="71" t="s">
        <v>1041</v>
      </c>
      <c r="C611" s="72" t="s">
        <v>1042</v>
      </c>
      <c r="D611" s="73"/>
      <c r="E611" s="74"/>
      <c r="F611" s="75">
        <v>0</v>
      </c>
      <c r="G611" s="76">
        <v>0</v>
      </c>
      <c r="H611" s="76">
        <f>F611+G611</f>
        <v>0</v>
      </c>
      <c r="I611" s="77">
        <v>0</v>
      </c>
      <c r="J611" s="22"/>
      <c r="K611"/>
      <c r="L611"/>
      <c r="M611"/>
      <c r="N611"/>
      <c r="O611"/>
      <c r="P611"/>
      <c r="Q611"/>
      <c r="R611"/>
      <c r="S611"/>
      <c r="T611"/>
      <c r="U611"/>
      <c r="V611"/>
      <c r="W611"/>
      <c r="X611"/>
      <c r="Y611"/>
      <c r="Z611"/>
      <c r="AA611"/>
      <c r="AB611"/>
      <c r="AC611"/>
      <c r="AD611"/>
      <c r="AE611"/>
      <c r="AF611"/>
      <c r="AG611"/>
      <c r="AH611"/>
      <c r="AI611"/>
    </row>
    <row r="612" spans="1:35" customHeight="1" ht="15">
      <c r="A612"/>
      <c r="B612" s="71" t="s">
        <v>1043</v>
      </c>
      <c r="C612" s="72" t="s">
        <v>1044</v>
      </c>
      <c r="D612" s="73"/>
      <c r="E612" s="74"/>
      <c r="F612" s="75">
        <v>0</v>
      </c>
      <c r="G612" s="76">
        <v>0</v>
      </c>
      <c r="H612" s="76">
        <f>F612+G612</f>
        <v>0</v>
      </c>
      <c r="I612" s="77">
        <v>0</v>
      </c>
      <c r="J612" s="22"/>
      <c r="K612"/>
      <c r="L612"/>
      <c r="M612"/>
      <c r="N612"/>
      <c r="O612"/>
      <c r="P612"/>
      <c r="Q612"/>
      <c r="R612"/>
      <c r="S612"/>
      <c r="T612"/>
      <c r="U612"/>
      <c r="V612"/>
      <c r="W612"/>
      <c r="X612"/>
      <c r="Y612"/>
      <c r="Z612"/>
      <c r="AA612"/>
      <c r="AB612"/>
      <c r="AC612"/>
      <c r="AD612"/>
      <c r="AE612"/>
      <c r="AF612"/>
      <c r="AG612"/>
      <c r="AH612"/>
      <c r="AI612"/>
    </row>
    <row r="613" spans="1:35" customHeight="1" ht="15">
      <c r="A613"/>
      <c r="B613" s="71" t="s">
        <v>1045</v>
      </c>
      <c r="C613" s="72" t="s">
        <v>1046</v>
      </c>
      <c r="D613" s="73"/>
      <c r="E613" s="74"/>
      <c r="F613" s="75">
        <v>0</v>
      </c>
      <c r="G613" s="76">
        <v>-1131</v>
      </c>
      <c r="H613" s="76">
        <f>F613+G613</f>
        <v>-1131</v>
      </c>
      <c r="I613" s="77">
        <v>-1131</v>
      </c>
      <c r="J613" s="22"/>
      <c r="K613"/>
      <c r="L613"/>
      <c r="M613"/>
      <c r="N613"/>
      <c r="O613"/>
      <c r="P613"/>
      <c r="Q613"/>
      <c r="R613"/>
      <c r="S613"/>
      <c r="T613"/>
      <c r="U613"/>
      <c r="V613"/>
      <c r="W613"/>
      <c r="X613"/>
      <c r="Y613"/>
      <c r="Z613"/>
      <c r="AA613"/>
      <c r="AB613"/>
      <c r="AC613"/>
      <c r="AD613"/>
      <c r="AE613"/>
      <c r="AF613"/>
      <c r="AG613"/>
      <c r="AH613"/>
      <c r="AI613"/>
    </row>
    <row r="614" spans="1:35" customHeight="1" ht="15">
      <c r="A614"/>
      <c r="B614" s="71" t="s">
        <v>1047</v>
      </c>
      <c r="C614" s="72" t="s">
        <v>1048</v>
      </c>
      <c r="D614" s="73"/>
      <c r="E614" s="74"/>
      <c r="F614" s="75">
        <v>0</v>
      </c>
      <c r="G614" s="76">
        <v>-1131</v>
      </c>
      <c r="H614" s="76">
        <f>F614+G614</f>
        <v>-1131</v>
      </c>
      <c r="I614" s="77">
        <v>-1131</v>
      </c>
      <c r="J614" s="22"/>
      <c r="K614"/>
      <c r="L614"/>
      <c r="M614"/>
      <c r="N614"/>
      <c r="O614"/>
      <c r="P614"/>
      <c r="Q614"/>
      <c r="R614"/>
      <c r="S614"/>
      <c r="T614"/>
      <c r="U614"/>
      <c r="V614"/>
      <c r="W614"/>
      <c r="X614"/>
      <c r="Y614"/>
      <c r="Z614"/>
      <c r="AA614"/>
      <c r="AB614"/>
      <c r="AC614"/>
      <c r="AD614"/>
      <c r="AE614"/>
      <c r="AF614"/>
      <c r="AG614"/>
      <c r="AH614"/>
      <c r="AI614"/>
    </row>
    <row r="615" spans="1:35" customHeight="1" ht="15">
      <c r="A615"/>
      <c r="B615" s="71" t="s">
        <v>1049</v>
      </c>
      <c r="C615" s="72" t="s">
        <v>1050</v>
      </c>
      <c r="D615" s="73"/>
      <c r="E615" s="74"/>
      <c r="F615" s="75">
        <v>0</v>
      </c>
      <c r="G615" s="76">
        <v>-281</v>
      </c>
      <c r="H615" s="76">
        <f>F615+G615</f>
        <v>-281</v>
      </c>
      <c r="I615" s="77">
        <v>-281</v>
      </c>
      <c r="J615" s="22"/>
      <c r="K615"/>
      <c r="L615"/>
      <c r="M615"/>
      <c r="N615"/>
      <c r="O615"/>
      <c r="P615"/>
      <c r="Q615"/>
      <c r="R615"/>
      <c r="S615"/>
      <c r="T615"/>
      <c r="U615"/>
      <c r="V615"/>
      <c r="W615"/>
      <c r="X615"/>
      <c r="Y615"/>
      <c r="Z615"/>
      <c r="AA615"/>
      <c r="AB615"/>
      <c r="AC615"/>
      <c r="AD615"/>
      <c r="AE615"/>
      <c r="AF615"/>
      <c r="AG615"/>
      <c r="AH615"/>
      <c r="AI615"/>
    </row>
    <row r="616" spans="1:35" customHeight="1" ht="15">
      <c r="A616"/>
      <c r="B616" s="71" t="s">
        <v>1051</v>
      </c>
      <c r="C616" s="72" t="s">
        <v>1052</v>
      </c>
      <c r="D616" s="73"/>
      <c r="E616" s="74"/>
      <c r="F616" s="75">
        <v>0</v>
      </c>
      <c r="G616" s="76">
        <v>-12</v>
      </c>
      <c r="H616" s="76">
        <f>F616+G616</f>
        <v>-12</v>
      </c>
      <c r="I616" s="77">
        <v>-12</v>
      </c>
      <c r="J616" s="22"/>
      <c r="K616"/>
      <c r="L616"/>
      <c r="M616"/>
      <c r="N616"/>
      <c r="O616"/>
      <c r="P616"/>
      <c r="Q616"/>
      <c r="R616"/>
      <c r="S616"/>
      <c r="T616"/>
      <c r="U616"/>
      <c r="V616"/>
      <c r="W616"/>
      <c r="X616"/>
      <c r="Y616"/>
      <c r="Z616"/>
      <c r="AA616"/>
      <c r="AB616"/>
      <c r="AC616"/>
      <c r="AD616"/>
      <c r="AE616"/>
      <c r="AF616"/>
      <c r="AG616"/>
      <c r="AH616"/>
      <c r="AI616"/>
    </row>
    <row r="617" spans="1:35" customHeight="1" ht="15">
      <c r="A617"/>
      <c r="B617" s="71" t="s">
        <v>1053</v>
      </c>
      <c r="C617" s="72" t="s">
        <v>1054</v>
      </c>
      <c r="D617" s="73"/>
      <c r="E617" s="74"/>
      <c r="F617" s="75">
        <v>0</v>
      </c>
      <c r="G617" s="76">
        <v>-12</v>
      </c>
      <c r="H617" s="76">
        <f>F617+G617</f>
        <v>-12</v>
      </c>
      <c r="I617" s="77">
        <v>-12</v>
      </c>
      <c r="J617" s="22"/>
      <c r="K617"/>
      <c r="L617"/>
      <c r="M617"/>
      <c r="N617"/>
      <c r="O617"/>
      <c r="P617"/>
      <c r="Q617"/>
      <c r="R617"/>
      <c r="S617"/>
      <c r="T617"/>
      <c r="U617"/>
      <c r="V617"/>
      <c r="W617"/>
      <c r="X617"/>
      <c r="Y617"/>
      <c r="Z617"/>
      <c r="AA617"/>
      <c r="AB617"/>
      <c r="AC617"/>
      <c r="AD617"/>
      <c r="AE617"/>
      <c r="AF617"/>
      <c r="AG617"/>
      <c r="AH617"/>
      <c r="AI617"/>
    </row>
    <row r="618" spans="1:35" customHeight="1" ht="15">
      <c r="A618"/>
      <c r="B618" s="71" t="s">
        <v>1055</v>
      </c>
      <c r="C618" s="72" t="s">
        <v>1056</v>
      </c>
      <c r="D618" s="73"/>
      <c r="E618" s="74"/>
      <c r="F618" s="75">
        <v>0</v>
      </c>
      <c r="G618" s="76">
        <v>-12</v>
      </c>
      <c r="H618" s="76">
        <f>F618+G618</f>
        <v>-12</v>
      </c>
      <c r="I618" s="77">
        <v>-12</v>
      </c>
      <c r="J618" s="22"/>
      <c r="K618"/>
      <c r="L618"/>
      <c r="M618"/>
      <c r="N618"/>
      <c r="O618"/>
      <c r="P618"/>
      <c r="Q618"/>
      <c r="R618"/>
      <c r="S618"/>
      <c r="T618"/>
      <c r="U618"/>
      <c r="V618"/>
      <c r="W618"/>
      <c r="X618"/>
      <c r="Y618"/>
      <c r="Z618"/>
      <c r="AA618"/>
      <c r="AB618"/>
      <c r="AC618"/>
      <c r="AD618"/>
      <c r="AE618"/>
      <c r="AF618"/>
      <c r="AG618"/>
      <c r="AH618"/>
      <c r="AI618"/>
    </row>
    <row r="619" spans="1:35" customHeight="1" ht="15">
      <c r="A619"/>
      <c r="B619" s="71" t="s">
        <v>1057</v>
      </c>
      <c r="C619" s="72" t="s">
        <v>1058</v>
      </c>
      <c r="D619" s="73"/>
      <c r="E619" s="74"/>
      <c r="F619" s="75">
        <v>0</v>
      </c>
      <c r="G619" s="76">
        <v>-12</v>
      </c>
      <c r="H619" s="76">
        <f>F619+G619</f>
        <v>-12</v>
      </c>
      <c r="I619" s="77">
        <v>-12</v>
      </c>
      <c r="J619" s="22"/>
      <c r="K619"/>
      <c r="L619"/>
      <c r="M619"/>
      <c r="N619"/>
      <c r="O619"/>
      <c r="P619"/>
      <c r="Q619"/>
      <c r="R619"/>
      <c r="S619"/>
      <c r="T619"/>
      <c r="U619"/>
      <c r="V619"/>
      <c r="W619"/>
      <c r="X619"/>
      <c r="Y619"/>
      <c r="Z619"/>
      <c r="AA619"/>
      <c r="AB619"/>
      <c r="AC619"/>
      <c r="AD619"/>
      <c r="AE619"/>
      <c r="AF619"/>
      <c r="AG619"/>
      <c r="AH619"/>
      <c r="AI619"/>
    </row>
    <row r="620" spans="1:35" customHeight="1" ht="15">
      <c r="A620"/>
      <c r="B620" s="71" t="s">
        <v>1059</v>
      </c>
      <c r="C620" s="72" t="s">
        <v>1060</v>
      </c>
      <c r="D620" s="73"/>
      <c r="E620" s="74"/>
      <c r="F620" s="75">
        <v>0</v>
      </c>
      <c r="G620" s="76">
        <v>-12</v>
      </c>
      <c r="H620" s="76">
        <f>F620+G620</f>
        <v>-12</v>
      </c>
      <c r="I620" s="77">
        <v>-12</v>
      </c>
      <c r="J620" s="22"/>
      <c r="K620"/>
      <c r="L620"/>
      <c r="M620"/>
      <c r="N620"/>
      <c r="O620"/>
      <c r="P620"/>
      <c r="Q620"/>
      <c r="R620"/>
      <c r="S620"/>
      <c r="T620"/>
      <c r="U620"/>
      <c r="V620"/>
      <c r="W620"/>
      <c r="X620"/>
      <c r="Y620"/>
      <c r="Z620"/>
      <c r="AA620"/>
      <c r="AB620"/>
      <c r="AC620"/>
      <c r="AD620"/>
      <c r="AE620"/>
      <c r="AF620"/>
      <c r="AG620"/>
      <c r="AH620"/>
      <c r="AI620"/>
    </row>
    <row r="621" spans="1:35" customHeight="1" ht="15">
      <c r="A621"/>
      <c r="B621" s="71" t="s">
        <v>1061</v>
      </c>
      <c r="C621" s="72" t="s">
        <v>1062</v>
      </c>
      <c r="D621" s="73"/>
      <c r="E621" s="74"/>
      <c r="F621" s="75">
        <v>0</v>
      </c>
      <c r="G621" s="76">
        <v>-4</v>
      </c>
      <c r="H621" s="76">
        <f>F621+G621</f>
        <v>-4</v>
      </c>
      <c r="I621" s="77">
        <v>-4</v>
      </c>
      <c r="J621" s="22"/>
      <c r="K621"/>
      <c r="L621"/>
      <c r="M621"/>
      <c r="N621"/>
      <c r="O621"/>
      <c r="P621"/>
      <c r="Q621"/>
      <c r="R621"/>
      <c r="S621"/>
      <c r="T621"/>
      <c r="U621"/>
      <c r="V621"/>
      <c r="W621"/>
      <c r="X621"/>
      <c r="Y621"/>
      <c r="Z621"/>
      <c r="AA621"/>
      <c r="AB621"/>
      <c r="AC621"/>
      <c r="AD621"/>
      <c r="AE621"/>
      <c r="AF621"/>
      <c r="AG621"/>
      <c r="AH621"/>
      <c r="AI621"/>
    </row>
    <row r="622" spans="1:35" customHeight="1" ht="15">
      <c r="A622"/>
      <c r="B622" s="71" t="s">
        <v>1063</v>
      </c>
      <c r="C622" s="72" t="s">
        <v>1064</v>
      </c>
      <c r="D622" s="73"/>
      <c r="E622" s="74"/>
      <c r="F622" s="75">
        <v>0</v>
      </c>
      <c r="G622" s="76">
        <v>-4</v>
      </c>
      <c r="H622" s="76">
        <f>F622+G622</f>
        <v>-4</v>
      </c>
      <c r="I622" s="77">
        <v>-4</v>
      </c>
      <c r="J622" s="22"/>
      <c r="K622"/>
      <c r="L622"/>
      <c r="M622"/>
      <c r="N622"/>
      <c r="O622"/>
      <c r="P622"/>
      <c r="Q622"/>
      <c r="R622"/>
      <c r="S622"/>
      <c r="T622"/>
      <c r="U622"/>
      <c r="V622"/>
      <c r="W622"/>
      <c r="X622"/>
      <c r="Y622"/>
      <c r="Z622"/>
      <c r="AA622"/>
      <c r="AB622"/>
      <c r="AC622"/>
      <c r="AD622"/>
      <c r="AE622"/>
      <c r="AF622"/>
      <c r="AG622"/>
      <c r="AH622"/>
      <c r="AI622"/>
    </row>
    <row r="623" spans="1:35" customHeight="1" ht="15">
      <c r="A623"/>
      <c r="B623" s="71" t="s">
        <v>1065</v>
      </c>
      <c r="C623" s="72" t="s">
        <v>1066</v>
      </c>
      <c r="D623" s="73"/>
      <c r="E623" s="74"/>
      <c r="F623" s="75">
        <v>0</v>
      </c>
      <c r="G623" s="76">
        <v>-44</v>
      </c>
      <c r="H623" s="76">
        <f>F623+G623</f>
        <v>-44</v>
      </c>
      <c r="I623" s="77">
        <v>-44</v>
      </c>
      <c r="J623" s="22"/>
      <c r="K623"/>
      <c r="L623"/>
      <c r="M623"/>
      <c r="N623"/>
      <c r="O623"/>
      <c r="P623"/>
      <c r="Q623"/>
      <c r="R623"/>
      <c r="S623"/>
      <c r="T623"/>
      <c r="U623"/>
      <c r="V623"/>
      <c r="W623"/>
      <c r="X623"/>
      <c r="Y623"/>
      <c r="Z623"/>
      <c r="AA623"/>
      <c r="AB623"/>
      <c r="AC623"/>
      <c r="AD623"/>
      <c r="AE623"/>
      <c r="AF623"/>
      <c r="AG623"/>
      <c r="AH623"/>
      <c r="AI623"/>
    </row>
    <row r="624" spans="1:35" customHeight="1" ht="15">
      <c r="A624"/>
      <c r="B624" s="71" t="s">
        <v>1067</v>
      </c>
      <c r="C624" s="72" t="s">
        <v>1068</v>
      </c>
      <c r="D624" s="73"/>
      <c r="E624" s="74"/>
      <c r="F624" s="75">
        <v>0</v>
      </c>
      <c r="G624" s="76">
        <v>-32</v>
      </c>
      <c r="H624" s="76">
        <f>F624+G624</f>
        <v>-32</v>
      </c>
      <c r="I624" s="77">
        <v>-32</v>
      </c>
      <c r="J624" s="22"/>
      <c r="K624"/>
      <c r="L624"/>
      <c r="M624"/>
      <c r="N624"/>
      <c r="O624"/>
      <c r="P624"/>
      <c r="Q624"/>
      <c r="R624"/>
      <c r="S624"/>
      <c r="T624"/>
      <c r="U624"/>
      <c r="V624"/>
      <c r="W624"/>
      <c r="X624"/>
      <c r="Y624"/>
      <c r="Z624"/>
      <c r="AA624"/>
      <c r="AB624"/>
      <c r="AC624"/>
      <c r="AD624"/>
      <c r="AE624"/>
      <c r="AF624"/>
      <c r="AG624"/>
      <c r="AH624"/>
      <c r="AI624"/>
    </row>
    <row r="625" spans="1:35" customHeight="1" ht="15">
      <c r="A625"/>
      <c r="B625" s="71" t="s">
        <v>1069</v>
      </c>
      <c r="C625" s="72" t="s">
        <v>1070</v>
      </c>
      <c r="D625" s="73"/>
      <c r="E625" s="74"/>
      <c r="F625" s="75">
        <v>0</v>
      </c>
      <c r="G625" s="76">
        <v>-32</v>
      </c>
      <c r="H625" s="76">
        <f>F625+G625</f>
        <v>-32</v>
      </c>
      <c r="I625" s="77">
        <v>-32</v>
      </c>
      <c r="J625" s="22"/>
      <c r="K625"/>
      <c r="L625"/>
      <c r="M625"/>
      <c r="N625"/>
      <c r="O625"/>
      <c r="P625"/>
      <c r="Q625"/>
      <c r="R625"/>
      <c r="S625"/>
      <c r="T625"/>
      <c r="U625"/>
      <c r="V625"/>
      <c r="W625"/>
      <c r="X625"/>
      <c r="Y625"/>
      <c r="Z625"/>
      <c r="AA625"/>
      <c r="AB625"/>
      <c r="AC625"/>
      <c r="AD625"/>
      <c r="AE625"/>
      <c r="AF625"/>
      <c r="AG625"/>
      <c r="AH625"/>
      <c r="AI625"/>
    </row>
    <row r="626" spans="1:35" customHeight="1" ht="15">
      <c r="A626"/>
      <c r="B626" s="71" t="s">
        <v>1071</v>
      </c>
      <c r="C626" s="72" t="s">
        <v>1072</v>
      </c>
      <c r="D626" s="73"/>
      <c r="E626" s="74"/>
      <c r="F626" s="75">
        <v>0</v>
      </c>
      <c r="G626" s="76">
        <v>-13</v>
      </c>
      <c r="H626" s="76">
        <f>F626+G626</f>
        <v>-13</v>
      </c>
      <c r="I626" s="77">
        <v>-13</v>
      </c>
      <c r="J626" s="22"/>
      <c r="K626"/>
      <c r="L626"/>
      <c r="M626"/>
      <c r="N626"/>
      <c r="O626"/>
      <c r="P626"/>
      <c r="Q626"/>
      <c r="R626"/>
      <c r="S626"/>
      <c r="T626"/>
      <c r="U626"/>
      <c r="V626"/>
      <c r="W626"/>
      <c r="X626"/>
      <c r="Y626"/>
      <c r="Z626"/>
      <c r="AA626"/>
      <c r="AB626"/>
      <c r="AC626"/>
      <c r="AD626"/>
      <c r="AE626"/>
      <c r="AF626"/>
      <c r="AG626"/>
      <c r="AH626"/>
      <c r="AI626"/>
    </row>
    <row r="627" spans="1:35" customHeight="1" ht="15">
      <c r="A627"/>
      <c r="B627" s="71" t="s">
        <v>1073</v>
      </c>
      <c r="C627" s="72" t="s">
        <v>1074</v>
      </c>
      <c r="D627" s="73"/>
      <c r="E627" s="74"/>
      <c r="F627" s="75">
        <v>0</v>
      </c>
      <c r="G627" s="76">
        <v>0</v>
      </c>
      <c r="H627" s="76">
        <f>F627+G627</f>
        <v>0</v>
      </c>
      <c r="I627" s="77">
        <v>0</v>
      </c>
      <c r="J627" s="22"/>
      <c r="K627"/>
      <c r="L627"/>
      <c r="M627"/>
      <c r="N627"/>
      <c r="O627"/>
      <c r="P627"/>
      <c r="Q627"/>
      <c r="R627"/>
      <c r="S627"/>
      <c r="T627"/>
      <c r="U627"/>
      <c r="V627"/>
      <c r="W627"/>
      <c r="X627"/>
      <c r="Y627"/>
      <c r="Z627"/>
      <c r="AA627"/>
      <c r="AB627"/>
      <c r="AC627"/>
      <c r="AD627"/>
      <c r="AE627"/>
      <c r="AF627"/>
      <c r="AG627"/>
      <c r="AH627"/>
      <c r="AI627"/>
    </row>
    <row r="628" spans="1:35" customHeight="1" ht="15">
      <c r="A628"/>
      <c r="B628" s="71" t="s">
        <v>1075</v>
      </c>
      <c r="C628" s="72" t="s">
        <v>1076</v>
      </c>
      <c r="D628" s="73"/>
      <c r="E628" s="74"/>
      <c r="F628" s="75">
        <v>0</v>
      </c>
      <c r="G628" s="76">
        <v>0</v>
      </c>
      <c r="H628" s="76">
        <f>F628+G628</f>
        <v>0</v>
      </c>
      <c r="I628" s="77">
        <v>0</v>
      </c>
      <c r="J628" s="22"/>
      <c r="K628"/>
      <c r="L628"/>
      <c r="M628"/>
      <c r="N628"/>
      <c r="O628"/>
      <c r="P628"/>
      <c r="Q628"/>
      <c r="R628"/>
      <c r="S628"/>
      <c r="T628"/>
      <c r="U628"/>
      <c r="V628"/>
      <c r="W628"/>
      <c r="X628"/>
      <c r="Y628"/>
      <c r="Z628"/>
      <c r="AA628"/>
      <c r="AB628"/>
      <c r="AC628"/>
      <c r="AD628"/>
      <c r="AE628"/>
      <c r="AF628"/>
      <c r="AG628"/>
      <c r="AH628"/>
      <c r="AI628"/>
    </row>
    <row r="629" spans="1:35" customHeight="1" ht="15">
      <c r="A629"/>
      <c r="B629" s="71" t="s">
        <v>1077</v>
      </c>
      <c r="C629" s="72" t="s">
        <v>1078</v>
      </c>
      <c r="D629" s="73"/>
      <c r="E629" s="74"/>
      <c r="F629" s="75">
        <v>0</v>
      </c>
      <c r="G629" s="76">
        <v>0</v>
      </c>
      <c r="H629" s="76">
        <f>F629+G629</f>
        <v>0</v>
      </c>
      <c r="I629" s="77">
        <v>0</v>
      </c>
      <c r="J629" s="22"/>
      <c r="K629"/>
      <c r="L629"/>
      <c r="M629"/>
      <c r="N629"/>
      <c r="O629"/>
      <c r="P629"/>
      <c r="Q629"/>
      <c r="R629"/>
      <c r="S629"/>
      <c r="T629"/>
      <c r="U629"/>
      <c r="V629"/>
      <c r="W629"/>
      <c r="X629"/>
      <c r="Y629"/>
      <c r="Z629"/>
      <c r="AA629"/>
      <c r="AB629"/>
      <c r="AC629"/>
      <c r="AD629"/>
      <c r="AE629"/>
      <c r="AF629"/>
      <c r="AG629"/>
      <c r="AH629"/>
      <c r="AI629"/>
    </row>
    <row r="630" spans="1:35" customHeight="1" ht="15">
      <c r="A630"/>
      <c r="B630" s="71" t="s">
        <v>1079</v>
      </c>
      <c r="C630" s="72" t="s">
        <v>1080</v>
      </c>
      <c r="D630" s="73"/>
      <c r="E630" s="74"/>
      <c r="F630" s="75">
        <v>0</v>
      </c>
      <c r="G630" s="76">
        <v>-13</v>
      </c>
      <c r="H630" s="76">
        <f>F630+G630</f>
        <v>-13</v>
      </c>
      <c r="I630" s="77">
        <v>-13</v>
      </c>
      <c r="J630" s="22"/>
      <c r="K630"/>
      <c r="L630"/>
      <c r="M630"/>
      <c r="N630"/>
      <c r="O630"/>
      <c r="P630"/>
      <c r="Q630"/>
      <c r="R630"/>
      <c r="S630"/>
      <c r="T630"/>
      <c r="U630"/>
      <c r="V630"/>
      <c r="W630"/>
      <c r="X630"/>
      <c r="Y630"/>
      <c r="Z630"/>
      <c r="AA630"/>
      <c r="AB630"/>
      <c r="AC630"/>
      <c r="AD630"/>
      <c r="AE630"/>
      <c r="AF630"/>
      <c r="AG630"/>
      <c r="AH630"/>
      <c r="AI630"/>
    </row>
    <row r="631" spans="1:35" customHeight="1" ht="15">
      <c r="A631"/>
      <c r="B631" s="71" t="s">
        <v>1081</v>
      </c>
      <c r="C631" s="72" t="s">
        <v>1082</v>
      </c>
      <c r="D631" s="73"/>
      <c r="E631" s="74"/>
      <c r="F631" s="75">
        <v>0</v>
      </c>
      <c r="G631" s="76">
        <v>-4</v>
      </c>
      <c r="H631" s="76">
        <f>F631+G631</f>
        <v>-4</v>
      </c>
      <c r="I631" s="77">
        <v>-4</v>
      </c>
      <c r="J631" s="22"/>
      <c r="K631"/>
      <c r="L631"/>
      <c r="M631"/>
      <c r="N631"/>
      <c r="O631"/>
      <c r="P631"/>
      <c r="Q631"/>
      <c r="R631"/>
      <c r="S631"/>
      <c r="T631"/>
      <c r="U631"/>
      <c r="V631"/>
      <c r="W631"/>
      <c r="X631"/>
      <c r="Y631"/>
      <c r="Z631"/>
      <c r="AA631"/>
      <c r="AB631"/>
      <c r="AC631"/>
      <c r="AD631"/>
      <c r="AE631"/>
      <c r="AF631"/>
      <c r="AG631"/>
      <c r="AH631"/>
      <c r="AI631"/>
    </row>
    <row r="632" spans="1:35" customHeight="1" ht="15">
      <c r="A632"/>
      <c r="B632" s="71" t="s">
        <v>1083</v>
      </c>
      <c r="C632" s="72" t="s">
        <v>1084</v>
      </c>
      <c r="D632" s="73"/>
      <c r="E632" s="74"/>
      <c r="F632" s="75">
        <v>0</v>
      </c>
      <c r="G632" s="76">
        <v>-4</v>
      </c>
      <c r="H632" s="76">
        <f>F632+G632</f>
        <v>-4</v>
      </c>
      <c r="I632" s="77">
        <v>-4</v>
      </c>
      <c r="J632" s="22"/>
      <c r="K632"/>
      <c r="L632"/>
      <c r="M632"/>
      <c r="N632"/>
      <c r="O632"/>
      <c r="P632"/>
      <c r="Q632"/>
      <c r="R632"/>
      <c r="S632"/>
      <c r="T632"/>
      <c r="U632"/>
      <c r="V632"/>
      <c r="W632"/>
      <c r="X632"/>
      <c r="Y632"/>
      <c r="Z632"/>
      <c r="AA632"/>
      <c r="AB632"/>
      <c r="AC632"/>
      <c r="AD632"/>
      <c r="AE632"/>
      <c r="AF632"/>
      <c r="AG632"/>
      <c r="AH632"/>
      <c r="AI632"/>
    </row>
    <row r="633" spans="1:35" customHeight="1" ht="15">
      <c r="A633"/>
      <c r="B633" s="71" t="s">
        <v>1085</v>
      </c>
      <c r="C633" s="72" t="s">
        <v>1086</v>
      </c>
      <c r="D633" s="73"/>
      <c r="E633" s="74"/>
      <c r="F633" s="75">
        <v>0</v>
      </c>
      <c r="G633" s="76">
        <v>-89</v>
      </c>
      <c r="H633" s="76">
        <f>F633+G633</f>
        <v>-89</v>
      </c>
      <c r="I633" s="77">
        <v>-89</v>
      </c>
      <c r="J633" s="22"/>
      <c r="K633"/>
      <c r="L633"/>
      <c r="M633"/>
      <c r="N633"/>
      <c r="O633"/>
      <c r="P633"/>
      <c r="Q633"/>
      <c r="R633"/>
      <c r="S633"/>
      <c r="T633"/>
      <c r="U633"/>
      <c r="V633"/>
      <c r="W633"/>
      <c r="X633"/>
      <c r="Y633"/>
      <c r="Z633"/>
      <c r="AA633"/>
      <c r="AB633"/>
      <c r="AC633"/>
      <c r="AD633"/>
      <c r="AE633"/>
      <c r="AF633"/>
      <c r="AG633"/>
      <c r="AH633"/>
      <c r="AI633"/>
    </row>
    <row r="634" spans="1:35" customHeight="1" ht="15">
      <c r="A634"/>
      <c r="B634" s="71" t="s">
        <v>1087</v>
      </c>
      <c r="C634" s="72" t="s">
        <v>1088</v>
      </c>
      <c r="D634" s="73"/>
      <c r="E634" s="74"/>
      <c r="F634" s="75">
        <v>0</v>
      </c>
      <c r="G634" s="76">
        <v>-30</v>
      </c>
      <c r="H634" s="76">
        <f>F634+G634</f>
        <v>-30</v>
      </c>
      <c r="I634" s="77">
        <v>-30</v>
      </c>
      <c r="J634" s="22"/>
      <c r="K634"/>
      <c r="L634"/>
      <c r="M634"/>
      <c r="N634"/>
      <c r="O634"/>
      <c r="P634"/>
      <c r="Q634"/>
      <c r="R634"/>
      <c r="S634"/>
      <c r="T634"/>
      <c r="U634"/>
      <c r="V634"/>
      <c r="W634"/>
      <c r="X634"/>
      <c r="Y634"/>
      <c r="Z634"/>
      <c r="AA634"/>
      <c r="AB634"/>
      <c r="AC634"/>
      <c r="AD634"/>
      <c r="AE634"/>
      <c r="AF634"/>
      <c r="AG634"/>
      <c r="AH634"/>
      <c r="AI634"/>
    </row>
    <row r="635" spans="1:35" customHeight="1" ht="15">
      <c r="A635"/>
      <c r="B635" s="71" t="s">
        <v>1089</v>
      </c>
      <c r="C635" s="72" t="s">
        <v>1090</v>
      </c>
      <c r="D635" s="73"/>
      <c r="E635" s="74"/>
      <c r="F635" s="75">
        <v>0</v>
      </c>
      <c r="G635" s="76">
        <v>-30</v>
      </c>
      <c r="H635" s="76">
        <f>F635+G635</f>
        <v>-30</v>
      </c>
      <c r="I635" s="77">
        <v>-30</v>
      </c>
      <c r="J635" s="22"/>
      <c r="K635"/>
      <c r="L635"/>
      <c r="M635"/>
      <c r="N635"/>
      <c r="O635"/>
      <c r="P635"/>
      <c r="Q635"/>
      <c r="R635"/>
      <c r="S635"/>
      <c r="T635"/>
      <c r="U635"/>
      <c r="V635"/>
      <c r="W635"/>
      <c r="X635"/>
      <c r="Y635"/>
      <c r="Z635"/>
      <c r="AA635"/>
      <c r="AB635"/>
      <c r="AC635"/>
      <c r="AD635"/>
      <c r="AE635"/>
      <c r="AF635"/>
      <c r="AG635"/>
      <c r="AH635"/>
      <c r="AI635"/>
    </row>
    <row r="636" spans="1:35" customHeight="1" ht="15">
      <c r="A636"/>
      <c r="B636" s="71" t="s">
        <v>1091</v>
      </c>
      <c r="C636" s="72" t="s">
        <v>1092</v>
      </c>
      <c r="D636" s="73"/>
      <c r="E636" s="74"/>
      <c r="F636" s="75">
        <v>0</v>
      </c>
      <c r="G636" s="76">
        <v>-89</v>
      </c>
      <c r="H636" s="76">
        <f>F636+G636</f>
        <v>-89</v>
      </c>
      <c r="I636" s="77">
        <v>-89</v>
      </c>
      <c r="J636" s="22"/>
      <c r="K636"/>
      <c r="L636"/>
      <c r="M636"/>
      <c r="N636"/>
      <c r="O636"/>
      <c r="P636"/>
      <c r="Q636"/>
      <c r="R636"/>
      <c r="S636"/>
      <c r="T636"/>
      <c r="U636"/>
      <c r="V636"/>
      <c r="W636"/>
      <c r="X636"/>
      <c r="Y636"/>
      <c r="Z636"/>
      <c r="AA636"/>
      <c r="AB636"/>
      <c r="AC636"/>
      <c r="AD636"/>
      <c r="AE636"/>
      <c r="AF636"/>
      <c r="AG636"/>
      <c r="AH636"/>
      <c r="AI636"/>
    </row>
    <row r="637" spans="1:35" customHeight="1" ht="15">
      <c r="A637"/>
      <c r="B637" s="71" t="s">
        <v>1093</v>
      </c>
      <c r="C637" s="72" t="s">
        <v>1094</v>
      </c>
      <c r="D637" s="73"/>
      <c r="E637" s="74"/>
      <c r="F637" s="75">
        <v>0</v>
      </c>
      <c r="G637" s="76">
        <v>-30</v>
      </c>
      <c r="H637" s="76">
        <f>F637+G637</f>
        <v>-30</v>
      </c>
      <c r="I637" s="77">
        <v>-30</v>
      </c>
      <c r="J637" s="22"/>
      <c r="K637"/>
      <c r="L637"/>
      <c r="M637"/>
      <c r="N637"/>
      <c r="O637"/>
      <c r="P637"/>
      <c r="Q637"/>
      <c r="R637"/>
      <c r="S637"/>
      <c r="T637"/>
      <c r="U637"/>
      <c r="V637"/>
      <c r="W637"/>
      <c r="X637"/>
      <c r="Y637"/>
      <c r="Z637"/>
      <c r="AA637"/>
      <c r="AB637"/>
      <c r="AC637"/>
      <c r="AD637"/>
      <c r="AE637"/>
      <c r="AF637"/>
      <c r="AG637"/>
      <c r="AH637"/>
      <c r="AI637"/>
    </row>
    <row r="638" spans="1:35" customHeight="1" ht="15">
      <c r="A638"/>
      <c r="B638" s="71" t="s">
        <v>1095</v>
      </c>
      <c r="C638" s="72" t="s">
        <v>1096</v>
      </c>
      <c r="D638" s="73"/>
      <c r="E638" s="74"/>
      <c r="F638" s="75">
        <v>0</v>
      </c>
      <c r="G638" s="76">
        <v>-59</v>
      </c>
      <c r="H638" s="76">
        <f>F638+G638</f>
        <v>-59</v>
      </c>
      <c r="I638" s="77">
        <v>-59</v>
      </c>
      <c r="J638" s="22"/>
      <c r="K638"/>
      <c r="L638"/>
      <c r="M638"/>
      <c r="N638"/>
      <c r="O638"/>
      <c r="P638"/>
      <c r="Q638"/>
      <c r="R638"/>
      <c r="S638"/>
      <c r="T638"/>
      <c r="U638"/>
      <c r="V638"/>
      <c r="W638"/>
      <c r="X638"/>
      <c r="Y638"/>
      <c r="Z638"/>
      <c r="AA638"/>
      <c r="AB638"/>
      <c r="AC638"/>
      <c r="AD638"/>
      <c r="AE638"/>
      <c r="AF638"/>
      <c r="AG638"/>
      <c r="AH638"/>
      <c r="AI638"/>
    </row>
    <row r="639" spans="1:35" customHeight="1" ht="15">
      <c r="A639"/>
      <c r="B639" s="71" t="s">
        <v>1097</v>
      </c>
      <c r="C639" s="72" t="s">
        <v>1098</v>
      </c>
      <c r="D639" s="73"/>
      <c r="E639" s="74"/>
      <c r="F639" s="75">
        <v>0</v>
      </c>
      <c r="G639" s="76">
        <v>-36</v>
      </c>
      <c r="H639" s="76">
        <f>F639+G639</f>
        <v>-36</v>
      </c>
      <c r="I639" s="77">
        <v>-36</v>
      </c>
      <c r="J639" s="22"/>
      <c r="K639"/>
      <c r="L639"/>
      <c r="M639"/>
      <c r="N639"/>
      <c r="O639"/>
      <c r="P639"/>
      <c r="Q639"/>
      <c r="R639"/>
      <c r="S639"/>
      <c r="T639"/>
      <c r="U639"/>
      <c r="V639"/>
      <c r="W639"/>
      <c r="X639"/>
      <c r="Y639"/>
      <c r="Z639"/>
      <c r="AA639"/>
      <c r="AB639"/>
      <c r="AC639"/>
      <c r="AD639"/>
      <c r="AE639"/>
      <c r="AF639"/>
      <c r="AG639"/>
      <c r="AH639"/>
      <c r="AI639"/>
    </row>
    <row r="640" spans="1:35" customHeight="1" ht="15">
      <c r="A640"/>
      <c r="B640" s="71" t="s">
        <v>1099</v>
      </c>
      <c r="C640" s="72" t="s">
        <v>1100</v>
      </c>
      <c r="D640" s="73"/>
      <c r="E640" s="74"/>
      <c r="F640" s="75">
        <v>0</v>
      </c>
      <c r="G640" s="76">
        <v>0</v>
      </c>
      <c r="H640" s="76">
        <f>F640+G640</f>
        <v>0</v>
      </c>
      <c r="I640" s="77">
        <v>0</v>
      </c>
      <c r="J640" s="22"/>
      <c r="K640"/>
      <c r="L640"/>
      <c r="M640"/>
      <c r="N640"/>
      <c r="O640"/>
      <c r="P640"/>
      <c r="Q640"/>
      <c r="R640"/>
      <c r="S640"/>
      <c r="T640"/>
      <c r="U640"/>
      <c r="V640"/>
      <c r="W640"/>
      <c r="X640"/>
      <c r="Y640"/>
      <c r="Z640"/>
      <c r="AA640"/>
      <c r="AB640"/>
      <c r="AC640"/>
      <c r="AD640"/>
      <c r="AE640"/>
      <c r="AF640"/>
      <c r="AG640"/>
      <c r="AH640"/>
      <c r="AI640"/>
    </row>
    <row r="641" spans="1:35" customHeight="1" ht="15">
      <c r="A641"/>
      <c r="B641" s="71" t="s">
        <v>1101</v>
      </c>
      <c r="C641" s="72" t="s">
        <v>1102</v>
      </c>
      <c r="D641" s="73"/>
      <c r="E641" s="74"/>
      <c r="F641" s="75">
        <v>0</v>
      </c>
      <c r="G641" s="76">
        <v>0</v>
      </c>
      <c r="H641" s="76">
        <f>F641+G641</f>
        <v>0</v>
      </c>
      <c r="I641" s="77">
        <v>0</v>
      </c>
      <c r="J641" s="22"/>
      <c r="K641"/>
      <c r="L641"/>
      <c r="M641"/>
      <c r="N641"/>
      <c r="O641"/>
      <c r="P641"/>
      <c r="Q641"/>
      <c r="R641"/>
      <c r="S641"/>
      <c r="T641"/>
      <c r="U641"/>
      <c r="V641"/>
      <c r="W641"/>
      <c r="X641"/>
      <c r="Y641"/>
      <c r="Z641"/>
      <c r="AA641"/>
      <c r="AB641"/>
      <c r="AC641"/>
      <c r="AD641"/>
      <c r="AE641"/>
      <c r="AF641"/>
      <c r="AG641"/>
      <c r="AH641"/>
      <c r="AI641"/>
    </row>
    <row r="642" spans="1:35" customHeight="1" ht="15">
      <c r="A642"/>
      <c r="B642" s="71" t="s">
        <v>1103</v>
      </c>
      <c r="C642" s="72" t="s">
        <v>1104</v>
      </c>
      <c r="D642" s="73"/>
      <c r="E642" s="74"/>
      <c r="F642" s="75">
        <v>0</v>
      </c>
      <c r="G642" s="76">
        <v>0</v>
      </c>
      <c r="H642" s="76">
        <f>F642+G642</f>
        <v>0</v>
      </c>
      <c r="I642" s="77">
        <v>0</v>
      </c>
      <c r="J642" s="22"/>
      <c r="K642"/>
      <c r="L642"/>
      <c r="M642"/>
      <c r="N642"/>
      <c r="O642"/>
      <c r="P642"/>
      <c r="Q642"/>
      <c r="R642"/>
      <c r="S642"/>
      <c r="T642"/>
      <c r="U642"/>
      <c r="V642"/>
      <c r="W642"/>
      <c r="X642"/>
      <c r="Y642"/>
      <c r="Z642"/>
      <c r="AA642"/>
      <c r="AB642"/>
      <c r="AC642"/>
      <c r="AD642"/>
      <c r="AE642"/>
      <c r="AF642"/>
      <c r="AG642"/>
      <c r="AH642"/>
      <c r="AI642"/>
    </row>
    <row r="643" spans="1:35" customHeight="1" ht="15">
      <c r="A643"/>
      <c r="B643" s="71" t="s">
        <v>1105</v>
      </c>
      <c r="C643" s="72" t="s">
        <v>1106</v>
      </c>
      <c r="D643" s="73"/>
      <c r="E643" s="74"/>
      <c r="F643" s="75">
        <v>0</v>
      </c>
      <c r="G643" s="76">
        <v>0</v>
      </c>
      <c r="H643" s="76">
        <f>F643+G643</f>
        <v>0</v>
      </c>
      <c r="I643" s="77">
        <v>0</v>
      </c>
      <c r="J643" s="22"/>
      <c r="K643"/>
      <c r="L643"/>
      <c r="M643"/>
      <c r="N643"/>
      <c r="O643"/>
      <c r="P643"/>
      <c r="Q643"/>
      <c r="R643"/>
      <c r="S643"/>
      <c r="T643"/>
      <c r="U643"/>
      <c r="V643"/>
      <c r="W643"/>
      <c r="X643"/>
      <c r="Y643"/>
      <c r="Z643"/>
      <c r="AA643"/>
      <c r="AB643"/>
      <c r="AC643"/>
      <c r="AD643"/>
      <c r="AE643"/>
      <c r="AF643"/>
      <c r="AG643"/>
      <c r="AH643"/>
      <c r="AI643"/>
    </row>
    <row r="644" spans="1:35" customHeight="1" ht="15">
      <c r="A644"/>
      <c r="B644" s="17" t="s">
        <v>1107</v>
      </c>
      <c r="C644" s="18" t="s">
        <v>1108</v>
      </c>
      <c r="D644" s="23">
        <v>0</v>
      </c>
      <c r="E644" s="24">
        <v>0</v>
      </c>
      <c r="F644" s="25">
        <v>0</v>
      </c>
      <c r="G644" s="26">
        <v>0</v>
      </c>
      <c r="H644" s="26">
        <v>0</v>
      </c>
      <c r="I644" s="22">
        <v>0</v>
      </c>
      <c r="J644" s="22">
        <v>0</v>
      </c>
      <c r="K644"/>
      <c r="L644"/>
      <c r="M644"/>
      <c r="N644"/>
      <c r="O644"/>
      <c r="P644"/>
      <c r="Q644"/>
      <c r="R644"/>
      <c r="S644"/>
      <c r="T644"/>
      <c r="U644"/>
      <c r="V644"/>
      <c r="W644"/>
      <c r="X644"/>
      <c r="Y644"/>
      <c r="Z644"/>
      <c r="AA644"/>
      <c r="AB644"/>
      <c r="AC644"/>
      <c r="AD644"/>
      <c r="AE644"/>
      <c r="AF644"/>
      <c r="AG644"/>
      <c r="AH644"/>
      <c r="AI644"/>
    </row>
    <row r="645" spans="1:35" customHeight="1" ht="15">
      <c r="A645"/>
      <c r="B645" s="17" t="s">
        <v>1109</v>
      </c>
      <c r="C645" s="18" t="s">
        <v>1110</v>
      </c>
      <c r="D645" s="23">
        <v>0</v>
      </c>
      <c r="E645" s="24">
        <v>0</v>
      </c>
      <c r="F645" s="25">
        <v>0</v>
      </c>
      <c r="G645" s="26">
        <v>0</v>
      </c>
      <c r="H645" s="26">
        <v>0</v>
      </c>
      <c r="I645" s="22">
        <v>0</v>
      </c>
      <c r="J645" s="22">
        <v>0</v>
      </c>
      <c r="K645"/>
      <c r="L645"/>
      <c r="M645"/>
      <c r="N645"/>
      <c r="O645"/>
      <c r="P645"/>
      <c r="Q645"/>
      <c r="R645"/>
      <c r="S645"/>
      <c r="T645"/>
      <c r="U645"/>
      <c r="V645"/>
      <c r="W645"/>
      <c r="X645"/>
      <c r="Y645"/>
      <c r="Z645"/>
      <c r="AA645"/>
      <c r="AB645"/>
      <c r="AC645"/>
      <c r="AD645"/>
      <c r="AE645"/>
      <c r="AF645"/>
      <c r="AG645"/>
      <c r="AH645"/>
      <c r="AI645"/>
    </row>
    <row r="646" spans="1:35" customHeight="1" ht="15">
      <c r="A646"/>
      <c r="B646" s="17" t="s">
        <v>1111</v>
      </c>
      <c r="C646" s="18" t="s">
        <v>1112</v>
      </c>
      <c r="D646" s="23">
        <v>0</v>
      </c>
      <c r="E646" s="24">
        <v>0</v>
      </c>
      <c r="F646" s="25">
        <v>0</v>
      </c>
      <c r="G646" s="26">
        <v>0</v>
      </c>
      <c r="H646" s="26">
        <v>0</v>
      </c>
      <c r="I646" s="22">
        <v>0</v>
      </c>
      <c r="J646" s="22">
        <v>0</v>
      </c>
      <c r="K646"/>
      <c r="L646"/>
      <c r="M646"/>
      <c r="N646"/>
      <c r="O646"/>
      <c r="P646"/>
      <c r="Q646"/>
      <c r="R646"/>
      <c r="S646"/>
      <c r="T646"/>
      <c r="U646"/>
      <c r="V646"/>
      <c r="W646"/>
      <c r="X646"/>
      <c r="Y646"/>
      <c r="Z646"/>
      <c r="AA646"/>
      <c r="AB646"/>
      <c r="AC646"/>
      <c r="AD646"/>
      <c r="AE646"/>
      <c r="AF646"/>
      <c r="AG646"/>
      <c r="AH646"/>
      <c r="AI646"/>
    </row>
    <row r="647" spans="1:35" customHeight="1" ht="15">
      <c r="A647"/>
      <c r="B647" s="71" t="s">
        <v>1113</v>
      </c>
      <c r="C647" s="72" t="s">
        <v>1114</v>
      </c>
      <c r="D647" s="73"/>
      <c r="E647" s="74"/>
      <c r="F647" s="75">
        <v>0</v>
      </c>
      <c r="G647" s="76">
        <v>0</v>
      </c>
      <c r="H647" s="76">
        <f>F647+G647</f>
        <v>0</v>
      </c>
      <c r="I647" s="77">
        <v>0</v>
      </c>
      <c r="J647" s="22"/>
      <c r="K647"/>
      <c r="L647"/>
      <c r="M647"/>
      <c r="N647"/>
      <c r="O647"/>
      <c r="P647"/>
      <c r="Q647"/>
      <c r="R647"/>
      <c r="S647"/>
      <c r="T647"/>
      <c r="U647"/>
      <c r="V647"/>
      <c r="W647"/>
      <c r="X647"/>
      <c r="Y647"/>
      <c r="Z647"/>
      <c r="AA647"/>
      <c r="AB647"/>
      <c r="AC647"/>
      <c r="AD647"/>
      <c r="AE647"/>
      <c r="AF647"/>
      <c r="AG647"/>
      <c r="AH647"/>
      <c r="AI647"/>
    </row>
    <row r="648" spans="1:35" customHeight="1" ht="15">
      <c r="A648"/>
      <c r="B648" s="17" t="s">
        <v>1115</v>
      </c>
      <c r="C648" s="18" t="s">
        <v>1116</v>
      </c>
      <c r="D648" s="23">
        <v>0</v>
      </c>
      <c r="E648" s="24">
        <v>0</v>
      </c>
      <c r="F648" s="25">
        <v>0</v>
      </c>
      <c r="G648" s="26">
        <v>0</v>
      </c>
      <c r="H648" s="26">
        <v>0</v>
      </c>
      <c r="I648" s="22">
        <v>0</v>
      </c>
      <c r="J648" s="22">
        <v>0</v>
      </c>
      <c r="K648"/>
      <c r="L648"/>
      <c r="M648"/>
      <c r="N648"/>
      <c r="O648"/>
      <c r="P648"/>
      <c r="Q648"/>
      <c r="R648"/>
      <c r="S648"/>
      <c r="T648"/>
      <c r="U648"/>
      <c r="V648"/>
      <c r="W648"/>
      <c r="X648"/>
      <c r="Y648"/>
      <c r="Z648"/>
      <c r="AA648"/>
      <c r="AB648"/>
      <c r="AC648"/>
      <c r="AD648"/>
      <c r="AE648"/>
      <c r="AF648"/>
      <c r="AG648"/>
      <c r="AH648"/>
      <c r="AI648"/>
    </row>
    <row r="649" spans="1:35" customHeight="1" ht="15">
      <c r="A649"/>
      <c r="B649" s="17" t="s">
        <v>1117</v>
      </c>
      <c r="C649" s="18" t="s">
        <v>1118</v>
      </c>
      <c r="D649" s="23">
        <v>0</v>
      </c>
      <c r="E649" s="24">
        <v>0</v>
      </c>
      <c r="F649" s="25">
        <v>0</v>
      </c>
      <c r="G649" s="26">
        <v>0</v>
      </c>
      <c r="H649" s="26">
        <v>0</v>
      </c>
      <c r="I649" s="22">
        <v>0</v>
      </c>
      <c r="J649" s="22">
        <v>0</v>
      </c>
      <c r="K649"/>
      <c r="L649"/>
      <c r="M649"/>
      <c r="N649"/>
      <c r="O649"/>
      <c r="P649"/>
      <c r="Q649"/>
      <c r="R649"/>
      <c r="S649"/>
      <c r="T649"/>
      <c r="U649"/>
      <c r="V649"/>
      <c r="W649"/>
      <c r="X649"/>
      <c r="Y649"/>
      <c r="Z649"/>
      <c r="AA649"/>
      <c r="AB649"/>
      <c r="AC649"/>
      <c r="AD649"/>
      <c r="AE649"/>
      <c r="AF649"/>
      <c r="AG649"/>
      <c r="AH649"/>
      <c r="AI649"/>
    </row>
    <row r="650" spans="1:35" customHeight="1" ht="15">
      <c r="A650"/>
      <c r="B650" s="17" t="s">
        <v>1119</v>
      </c>
      <c r="C650" s="18" t="s">
        <v>1120</v>
      </c>
      <c r="D650" s="23">
        <v>0</v>
      </c>
      <c r="E650" s="24">
        <v>0</v>
      </c>
      <c r="F650" s="25">
        <v>0</v>
      </c>
      <c r="G650" s="26">
        <v>0</v>
      </c>
      <c r="H650" s="26">
        <v>0</v>
      </c>
      <c r="I650" s="22">
        <v>0</v>
      </c>
      <c r="J650" s="22">
        <v>0</v>
      </c>
      <c r="K650"/>
      <c r="L650"/>
      <c r="M650"/>
      <c r="N650"/>
      <c r="O650"/>
      <c r="P650"/>
      <c r="Q650"/>
      <c r="R650"/>
      <c r="S650"/>
      <c r="T650"/>
      <c r="U650"/>
      <c r="V650"/>
      <c r="W650"/>
      <c r="X650"/>
      <c r="Y650"/>
      <c r="Z650"/>
      <c r="AA650"/>
      <c r="AB650"/>
      <c r="AC650"/>
      <c r="AD650"/>
      <c r="AE650"/>
      <c r="AF650"/>
      <c r="AG650"/>
      <c r="AH650"/>
      <c r="AI650"/>
    </row>
    <row r="651" spans="1:35" customHeight="1" ht="15">
      <c r="A651"/>
      <c r="B651" s="71" t="s">
        <v>397</v>
      </c>
      <c r="C651" s="72" t="s">
        <v>1121</v>
      </c>
      <c r="D651" s="73"/>
      <c r="E651" s="74"/>
      <c r="F651" s="75">
        <v>0</v>
      </c>
      <c r="G651" s="76">
        <v>-1</v>
      </c>
      <c r="H651" s="76">
        <f>F651+G651</f>
        <v>-1</v>
      </c>
      <c r="I651" s="77">
        <v>-1</v>
      </c>
      <c r="J651" s="22"/>
      <c r="K651"/>
      <c r="L651"/>
      <c r="M651"/>
      <c r="N651"/>
      <c r="O651"/>
      <c r="P651"/>
      <c r="Q651"/>
      <c r="R651"/>
      <c r="S651"/>
      <c r="T651"/>
      <c r="U651"/>
      <c r="V651"/>
      <c r="W651"/>
      <c r="X651"/>
      <c r="Y651"/>
      <c r="Z651"/>
      <c r="AA651"/>
      <c r="AB651"/>
      <c r="AC651"/>
      <c r="AD651"/>
      <c r="AE651"/>
      <c r="AF651"/>
      <c r="AG651"/>
      <c r="AH651"/>
      <c r="AI651"/>
    </row>
    <row r="652" spans="1:35" customHeight="1" ht="15">
      <c r="A652"/>
      <c r="B652" s="71" t="s">
        <v>399</v>
      </c>
      <c r="C652" s="72" t="s">
        <v>1122</v>
      </c>
      <c r="D652" s="73"/>
      <c r="E652" s="74"/>
      <c r="F652" s="75">
        <v>0</v>
      </c>
      <c r="G652" s="76">
        <v>-9</v>
      </c>
      <c r="H652" s="76">
        <f>F652+G652</f>
        <v>-9</v>
      </c>
      <c r="I652" s="77">
        <v>-9</v>
      </c>
      <c r="J652" s="22"/>
      <c r="K652"/>
      <c r="L652"/>
      <c r="M652"/>
      <c r="N652"/>
      <c r="O652"/>
      <c r="P652"/>
      <c r="Q652"/>
      <c r="R652"/>
      <c r="S652"/>
      <c r="T652"/>
      <c r="U652"/>
      <c r="V652"/>
      <c r="W652"/>
      <c r="X652"/>
      <c r="Y652"/>
      <c r="Z652"/>
      <c r="AA652"/>
      <c r="AB652"/>
      <c r="AC652"/>
      <c r="AD652"/>
      <c r="AE652"/>
      <c r="AF652"/>
      <c r="AG652"/>
      <c r="AH652"/>
      <c r="AI652"/>
    </row>
    <row r="653" spans="1:35" customHeight="1" ht="15">
      <c r="A653"/>
      <c r="B653" s="17" t="s">
        <v>1123</v>
      </c>
      <c r="C653" s="18" t="s">
        <v>1124</v>
      </c>
      <c r="D653" s="23">
        <v>0</v>
      </c>
      <c r="E653" s="24">
        <v>0</v>
      </c>
      <c r="F653" s="25">
        <v>0</v>
      </c>
      <c r="G653" s="26">
        <v>0</v>
      </c>
      <c r="H653" s="26">
        <v>0</v>
      </c>
      <c r="I653" s="22">
        <v>0</v>
      </c>
      <c r="J653" s="22">
        <v>0</v>
      </c>
      <c r="K653"/>
      <c r="L653"/>
      <c r="M653"/>
      <c r="N653"/>
      <c r="O653"/>
      <c r="P653"/>
      <c r="Q653"/>
      <c r="R653"/>
      <c r="S653"/>
      <c r="T653"/>
      <c r="U653"/>
      <c r="V653"/>
      <c r="W653"/>
      <c r="X653"/>
      <c r="Y653"/>
      <c r="Z653"/>
      <c r="AA653"/>
      <c r="AB653"/>
      <c r="AC653"/>
      <c r="AD653"/>
      <c r="AE653"/>
      <c r="AF653"/>
      <c r="AG653"/>
      <c r="AH653"/>
      <c r="AI653"/>
    </row>
    <row r="654" spans="1:35" customHeight="1" ht="15">
      <c r="A654"/>
      <c r="B654" s="17" t="s">
        <v>1125</v>
      </c>
      <c r="C654" s="18" t="s">
        <v>1126</v>
      </c>
      <c r="D654" s="23">
        <v>0</v>
      </c>
      <c r="E654" s="24">
        <v>0</v>
      </c>
      <c r="F654" s="25">
        <v>0</v>
      </c>
      <c r="G654" s="26">
        <v>0</v>
      </c>
      <c r="H654" s="26">
        <v>0</v>
      </c>
      <c r="I654" s="22">
        <v>0</v>
      </c>
      <c r="J654" s="22">
        <v>0</v>
      </c>
      <c r="K654"/>
      <c r="L654"/>
      <c r="M654"/>
      <c r="N654"/>
      <c r="O654"/>
      <c r="P654"/>
      <c r="Q654"/>
      <c r="R654"/>
      <c r="S654"/>
      <c r="T654"/>
      <c r="U654"/>
      <c r="V654"/>
      <c r="W654"/>
      <c r="X654"/>
      <c r="Y654"/>
      <c r="Z654"/>
      <c r="AA654"/>
      <c r="AB654"/>
      <c r="AC654"/>
      <c r="AD654"/>
      <c r="AE654"/>
      <c r="AF654"/>
      <c r="AG654"/>
      <c r="AH654"/>
      <c r="AI654"/>
    </row>
    <row r="655" spans="1:35" customHeight="1" ht="15">
      <c r="A655"/>
      <c r="B655" s="17" t="s">
        <v>1127</v>
      </c>
      <c r="C655" s="18" t="s">
        <v>1128</v>
      </c>
      <c r="D655" s="23">
        <v>0</v>
      </c>
      <c r="E655" s="24">
        <v>0</v>
      </c>
      <c r="F655" s="25">
        <v>0</v>
      </c>
      <c r="G655" s="26">
        <v>0</v>
      </c>
      <c r="H655" s="26">
        <v>0</v>
      </c>
      <c r="I655" s="22">
        <v>0</v>
      </c>
      <c r="J655" s="22">
        <v>0</v>
      </c>
      <c r="K655"/>
      <c r="L655"/>
      <c r="M655"/>
      <c r="N655"/>
      <c r="O655"/>
      <c r="P655"/>
      <c r="Q655"/>
      <c r="R655"/>
      <c r="S655"/>
      <c r="T655"/>
      <c r="U655"/>
      <c r="V655"/>
      <c r="W655"/>
      <c r="X655"/>
      <c r="Y655"/>
      <c r="Z655"/>
      <c r="AA655"/>
      <c r="AB655"/>
      <c r="AC655"/>
      <c r="AD655"/>
      <c r="AE655"/>
      <c r="AF655"/>
      <c r="AG655"/>
      <c r="AH655"/>
      <c r="AI655"/>
    </row>
    <row r="656" spans="1:35" customHeight="1" ht="15">
      <c r="A656"/>
      <c r="B656" s="17" t="s">
        <v>1129</v>
      </c>
      <c r="C656" s="18" t="s">
        <v>1130</v>
      </c>
      <c r="D656" s="23">
        <v>0</v>
      </c>
      <c r="E656" s="24">
        <v>0</v>
      </c>
      <c r="F656" s="25">
        <v>0</v>
      </c>
      <c r="G656" s="26">
        <v>0</v>
      </c>
      <c r="H656" s="26">
        <v>0</v>
      </c>
      <c r="I656" s="22">
        <v>0</v>
      </c>
      <c r="J656" s="22">
        <v>0</v>
      </c>
      <c r="K656"/>
      <c r="L656"/>
      <c r="M656"/>
      <c r="N656"/>
      <c r="O656"/>
      <c r="P656"/>
      <c r="Q656"/>
      <c r="R656"/>
      <c r="S656"/>
      <c r="T656"/>
      <c r="U656"/>
      <c r="V656"/>
      <c r="W656"/>
      <c r="X656"/>
      <c r="Y656"/>
      <c r="Z656"/>
      <c r="AA656"/>
      <c r="AB656"/>
      <c r="AC656"/>
      <c r="AD656"/>
      <c r="AE656"/>
      <c r="AF656"/>
      <c r="AG656"/>
      <c r="AH656"/>
      <c r="AI656"/>
    </row>
    <row r="657" spans="1:35" customHeight="1" ht="15">
      <c r="A657"/>
      <c r="B657" s="17" t="s">
        <v>1131</v>
      </c>
      <c r="C657" s="18" t="s">
        <v>1132</v>
      </c>
      <c r="D657" s="23">
        <v>0</v>
      </c>
      <c r="E657" s="24">
        <v>0</v>
      </c>
      <c r="F657" s="25">
        <v>0</v>
      </c>
      <c r="G657" s="26">
        <v>0</v>
      </c>
      <c r="H657" s="26">
        <v>0</v>
      </c>
      <c r="I657" s="22">
        <v>0</v>
      </c>
      <c r="J657" s="22">
        <v>0</v>
      </c>
      <c r="K657"/>
      <c r="L657"/>
      <c r="M657"/>
      <c r="N657"/>
      <c r="O657"/>
      <c r="P657"/>
      <c r="Q657"/>
      <c r="R657"/>
      <c r="S657"/>
      <c r="T657"/>
      <c r="U657"/>
      <c r="V657"/>
      <c r="W657"/>
      <c r="X657"/>
      <c r="Y657"/>
      <c r="Z657"/>
      <c r="AA657"/>
      <c r="AB657"/>
      <c r="AC657"/>
      <c r="AD657"/>
      <c r="AE657"/>
      <c r="AF657"/>
      <c r="AG657"/>
      <c r="AH657"/>
      <c r="AI657"/>
    </row>
    <row r="658" spans="1:35" customHeight="1" ht="15">
      <c r="A658"/>
      <c r="B658" s="17" t="s">
        <v>1133</v>
      </c>
      <c r="C658" s="18" t="s">
        <v>1134</v>
      </c>
      <c r="D658" s="23">
        <v>0</v>
      </c>
      <c r="E658" s="24">
        <v>0</v>
      </c>
      <c r="F658" s="25">
        <v>0</v>
      </c>
      <c r="G658" s="26">
        <v>0</v>
      </c>
      <c r="H658" s="26">
        <v>0</v>
      </c>
      <c r="I658" s="22">
        <v>0</v>
      </c>
      <c r="J658" s="22">
        <v>0</v>
      </c>
      <c r="K658"/>
      <c r="L658"/>
      <c r="M658"/>
      <c r="N658"/>
      <c r="O658"/>
      <c r="P658"/>
      <c r="Q658"/>
      <c r="R658"/>
      <c r="S658"/>
      <c r="T658"/>
      <c r="U658"/>
      <c r="V658"/>
      <c r="W658"/>
      <c r="X658"/>
      <c r="Y658"/>
      <c r="Z658"/>
      <c r="AA658"/>
      <c r="AB658"/>
      <c r="AC658"/>
      <c r="AD658"/>
      <c r="AE658"/>
      <c r="AF658"/>
      <c r="AG658"/>
      <c r="AH658"/>
      <c r="AI658"/>
    </row>
    <row r="659" spans="1:35" customHeight="1" ht="15.75">
      <c r="A659"/>
      <c r="B659" s="17" t="s">
        <v>1135</v>
      </c>
      <c r="C659" s="18" t="s">
        <v>1136</v>
      </c>
      <c r="D659" s="23">
        <v>0</v>
      </c>
      <c r="E659" s="24">
        <v>0</v>
      </c>
      <c r="F659" s="29">
        <v>0</v>
      </c>
      <c r="G659" s="30">
        <v>0</v>
      </c>
      <c r="H659" s="30">
        <v>0</v>
      </c>
      <c r="I659" s="31">
        <v>0</v>
      </c>
      <c r="J659" s="31">
        <v>0</v>
      </c>
      <c r="K659"/>
      <c r="L659"/>
      <c r="M659"/>
      <c r="N659"/>
      <c r="O659"/>
      <c r="P659"/>
      <c r="Q659"/>
      <c r="R659"/>
      <c r="S659"/>
      <c r="T659"/>
      <c r="U659"/>
      <c r="V659"/>
      <c r="W659"/>
      <c r="X659"/>
      <c r="Y659"/>
      <c r="Z659"/>
      <c r="AA659"/>
      <c r="AB659"/>
      <c r="AC659"/>
      <c r="AD659"/>
      <c r="AE659"/>
      <c r="AF659"/>
      <c r="AG659"/>
      <c r="AH659"/>
      <c r="AI659"/>
    </row>
    <row r="660" spans="1:35" customHeight="1" ht="15.75">
      <c r="A660"/>
      <c r="B660" s="32"/>
      <c r="C660" s="5" t="s">
        <v>1137</v>
      </c>
      <c r="D660" s="61">
        <f>SUM(E661)</f>
        <v>0</v>
      </c>
      <c r="E660" s="62"/>
      <c r="F660" s="38"/>
      <c r="G660" s="40"/>
      <c r="H660" s="39"/>
      <c r="I660" s="38">
        <v>0</v>
      </c>
      <c r="J660" s="39"/>
      <c r="K660"/>
      <c r="L660"/>
      <c r="M660"/>
      <c r="N660"/>
      <c r="O660"/>
      <c r="P660"/>
      <c r="Q660"/>
      <c r="R660"/>
      <c r="S660"/>
      <c r="T660"/>
      <c r="U660"/>
      <c r="V660"/>
      <c r="W660"/>
      <c r="X660"/>
      <c r="Y660"/>
      <c r="Z660"/>
      <c r="AA660"/>
      <c r="AB660"/>
      <c r="AC660"/>
      <c r="AD660"/>
      <c r="AE660"/>
      <c r="AF660"/>
      <c r="AG660"/>
      <c r="AH660"/>
      <c r="AI660"/>
    </row>
    <row r="661" spans="1:35" customHeight="1" ht="15.75">
      <c r="A661"/>
      <c r="B661" s="17" t="s">
        <v>56</v>
      </c>
      <c r="C661" s="18" t="s">
        <v>482</v>
      </c>
      <c r="D661" s="27">
        <v>0</v>
      </c>
      <c r="E661" s="28">
        <v>0</v>
      </c>
      <c r="F661" s="34">
        <v>0</v>
      </c>
      <c r="G661" s="31">
        <v>0</v>
      </c>
      <c r="H661" s="13">
        <v>0</v>
      </c>
      <c r="I661" s="31">
        <v>0</v>
      </c>
      <c r="J661" s="31">
        <v>0</v>
      </c>
      <c r="K661"/>
      <c r="L661"/>
      <c r="M661"/>
      <c r="N661"/>
      <c r="O661"/>
      <c r="P661"/>
      <c r="Q661"/>
      <c r="R661"/>
      <c r="S661"/>
      <c r="T661"/>
      <c r="U661"/>
      <c r="V661"/>
      <c r="W661"/>
      <c r="X661"/>
      <c r="Y661"/>
      <c r="Z661"/>
      <c r="AA661"/>
      <c r="AB661"/>
      <c r="AC661"/>
      <c r="AD661"/>
      <c r="AE661"/>
      <c r="AF661"/>
      <c r="AG661"/>
      <c r="AH661"/>
      <c r="AI661"/>
    </row>
    <row r="662" spans="1:35" customHeight="1" ht="15.75">
      <c r="A662"/>
      <c r="B662" s="83">
        <v>1010302999</v>
      </c>
      <c r="C662" s="72"/>
      <c r="D662" s="73"/>
      <c r="E662" s="74"/>
      <c r="F662" s="75"/>
      <c r="G662" s="76"/>
      <c r="H662" s="84"/>
      <c r="I662" s="77"/>
      <c r="J662" s="31"/>
      <c r="K662"/>
      <c r="L662"/>
      <c r="M662"/>
      <c r="N662"/>
      <c r="O662"/>
      <c r="P662"/>
      <c r="Q662"/>
      <c r="R662"/>
      <c r="S662"/>
      <c r="T662"/>
      <c r="U662"/>
      <c r="V662"/>
      <c r="W662"/>
      <c r="X662"/>
      <c r="Y662"/>
      <c r="Z662"/>
      <c r="AA662"/>
      <c r="AB662"/>
      <c r="AC662"/>
      <c r="AD662"/>
      <c r="AE662"/>
      <c r="AF662"/>
      <c r="AG662"/>
      <c r="AH662"/>
      <c r="AI662"/>
    </row>
    <row r="663" spans="1:35" customHeight="1" ht="15.75">
      <c r="A663"/>
      <c r="B663" s="83" t="s">
        <v>321</v>
      </c>
      <c r="C663" s="72" t="s">
        <v>1138</v>
      </c>
      <c r="D663" s="73"/>
      <c r="E663" s="74"/>
      <c r="F663" s="75">
        <v>0</v>
      </c>
      <c r="G663" s="76">
        <v>0</v>
      </c>
      <c r="H663" s="84">
        <f>F663+G663</f>
        <v>0</v>
      </c>
      <c r="I663" s="77">
        <v>0</v>
      </c>
      <c r="J663" s="31"/>
      <c r="K663"/>
      <c r="L663"/>
      <c r="M663"/>
      <c r="N663"/>
      <c r="O663"/>
      <c r="P663"/>
      <c r="Q663"/>
      <c r="R663"/>
      <c r="S663"/>
      <c r="T663"/>
      <c r="U663"/>
      <c r="V663"/>
      <c r="W663"/>
      <c r="X663"/>
      <c r="Y663"/>
      <c r="Z663"/>
      <c r="AA663"/>
      <c r="AB663"/>
      <c r="AC663"/>
      <c r="AD663"/>
      <c r="AE663"/>
      <c r="AF663"/>
      <c r="AG663"/>
      <c r="AH663"/>
      <c r="AI663"/>
    </row>
    <row r="664" spans="1:35" customHeight="1" ht="15.75">
      <c r="A664"/>
      <c r="B664" s="83">
        <v>1010302999</v>
      </c>
      <c r="C664" s="72"/>
      <c r="D664" s="73"/>
      <c r="E664" s="74"/>
      <c r="F664" s="75"/>
      <c r="G664" s="76"/>
      <c r="H664" s="84"/>
      <c r="I664" s="77"/>
      <c r="J664" s="31"/>
      <c r="K664"/>
      <c r="L664"/>
      <c r="M664"/>
      <c r="N664"/>
      <c r="O664"/>
      <c r="P664"/>
      <c r="Q664"/>
      <c r="R664"/>
      <c r="S664"/>
      <c r="T664"/>
      <c r="U664"/>
      <c r="V664"/>
      <c r="W664"/>
      <c r="X664"/>
      <c r="Y664"/>
      <c r="Z664"/>
      <c r="AA664"/>
      <c r="AB664"/>
      <c r="AC664"/>
      <c r="AD664"/>
      <c r="AE664"/>
      <c r="AF664"/>
      <c r="AG664"/>
      <c r="AH664"/>
      <c r="AI664"/>
    </row>
    <row r="665" spans="1:35" customHeight="1" ht="15.75">
      <c r="A665"/>
      <c r="B665" s="83" t="s">
        <v>319</v>
      </c>
      <c r="C665" s="72" t="s">
        <v>1139</v>
      </c>
      <c r="D665" s="73"/>
      <c r="E665" s="74"/>
      <c r="F665" s="75">
        <v>0</v>
      </c>
      <c r="G665" s="76">
        <v>0</v>
      </c>
      <c r="H665" s="84">
        <f>F665+G665</f>
        <v>0</v>
      </c>
      <c r="I665" s="77">
        <v>0</v>
      </c>
      <c r="J665" s="31"/>
      <c r="K665"/>
      <c r="L665"/>
      <c r="M665"/>
      <c r="N665"/>
      <c r="O665"/>
      <c r="P665"/>
      <c r="Q665"/>
      <c r="R665"/>
      <c r="S665"/>
      <c r="T665"/>
      <c r="U665"/>
      <c r="V665"/>
      <c r="W665"/>
      <c r="X665"/>
      <c r="Y665"/>
      <c r="Z665"/>
      <c r="AA665"/>
      <c r="AB665"/>
      <c r="AC665"/>
      <c r="AD665"/>
      <c r="AE665"/>
      <c r="AF665"/>
      <c r="AG665"/>
      <c r="AH665"/>
      <c r="AI665"/>
    </row>
    <row r="666" spans="1:35" customHeight="1" ht="15.75">
      <c r="A666"/>
      <c r="B666" s="83">
        <v>1010302999</v>
      </c>
      <c r="C666" s="72"/>
      <c r="D666" s="73"/>
      <c r="E666" s="74"/>
      <c r="F666" s="75"/>
      <c r="G666" s="76"/>
      <c r="H666" s="84"/>
      <c r="I666" s="77"/>
      <c r="J666" s="31"/>
      <c r="K666"/>
      <c r="L666"/>
      <c r="M666"/>
      <c r="N666"/>
      <c r="O666"/>
      <c r="P666"/>
      <c r="Q666"/>
      <c r="R666"/>
      <c r="S666"/>
      <c r="T666"/>
      <c r="U666"/>
      <c r="V666"/>
      <c r="W666"/>
      <c r="X666"/>
      <c r="Y666"/>
      <c r="Z666"/>
      <c r="AA666"/>
      <c r="AB666"/>
      <c r="AC666"/>
      <c r="AD666"/>
      <c r="AE666"/>
      <c r="AF666"/>
      <c r="AG666"/>
      <c r="AH666"/>
      <c r="AI666"/>
    </row>
    <row r="667" spans="1:35" customHeight="1" ht="15.75">
      <c r="A667"/>
      <c r="B667" s="83" t="s">
        <v>317</v>
      </c>
      <c r="C667" s="72" t="s">
        <v>1140</v>
      </c>
      <c r="D667" s="73"/>
      <c r="E667" s="74"/>
      <c r="F667" s="75">
        <v>0</v>
      </c>
      <c r="G667" s="76">
        <v>0</v>
      </c>
      <c r="H667" s="84">
        <f>F667+G667</f>
        <v>0</v>
      </c>
      <c r="I667" s="77">
        <v>0</v>
      </c>
      <c r="J667" s="31"/>
      <c r="K667"/>
      <c r="L667"/>
      <c r="M667"/>
      <c r="N667"/>
      <c r="O667"/>
      <c r="P667"/>
      <c r="Q667"/>
      <c r="R667"/>
      <c r="S667"/>
      <c r="T667"/>
      <c r="U667"/>
      <c r="V667"/>
      <c r="W667"/>
      <c r="X667"/>
      <c r="Y667"/>
      <c r="Z667"/>
      <c r="AA667"/>
      <c r="AB667"/>
      <c r="AC667"/>
      <c r="AD667"/>
      <c r="AE667"/>
      <c r="AF667"/>
      <c r="AG667"/>
      <c r="AH667"/>
      <c r="AI667"/>
    </row>
    <row r="668" spans="1:35" customHeight="1" ht="15.75">
      <c r="A668"/>
      <c r="B668" s="83">
        <v>1010302999</v>
      </c>
      <c r="C668" s="72"/>
      <c r="D668" s="73"/>
      <c r="E668" s="74"/>
      <c r="F668" s="75"/>
      <c r="G668" s="76"/>
      <c r="H668" s="84"/>
      <c r="I668" s="77"/>
      <c r="J668" s="31"/>
      <c r="K668"/>
      <c r="L668"/>
      <c r="M668"/>
      <c r="N668"/>
      <c r="O668"/>
      <c r="P668"/>
      <c r="Q668"/>
      <c r="R668"/>
      <c r="S668"/>
      <c r="T668"/>
      <c r="U668"/>
      <c r="V668"/>
      <c r="W668"/>
      <c r="X668"/>
      <c r="Y668"/>
      <c r="Z668"/>
      <c r="AA668"/>
      <c r="AB668"/>
      <c r="AC668"/>
      <c r="AD668"/>
      <c r="AE668"/>
      <c r="AF668"/>
      <c r="AG668"/>
      <c r="AH668"/>
      <c r="AI668"/>
    </row>
    <row r="669" spans="1:35" customHeight="1" ht="15.75">
      <c r="A669"/>
      <c r="B669" s="83" t="s">
        <v>315</v>
      </c>
      <c r="C669" s="72" t="s">
        <v>1141</v>
      </c>
      <c r="D669" s="73"/>
      <c r="E669" s="74"/>
      <c r="F669" s="75">
        <v>0</v>
      </c>
      <c r="G669" s="76">
        <v>0</v>
      </c>
      <c r="H669" s="84">
        <f>F669+G669</f>
        <v>0</v>
      </c>
      <c r="I669" s="77">
        <v>0</v>
      </c>
      <c r="J669" s="31"/>
      <c r="K669"/>
      <c r="L669"/>
      <c r="M669"/>
      <c r="N669"/>
      <c r="O669"/>
      <c r="P669"/>
      <c r="Q669"/>
      <c r="R669"/>
      <c r="S669"/>
      <c r="T669"/>
      <c r="U669"/>
      <c r="V669"/>
      <c r="W669"/>
      <c r="X669"/>
      <c r="Y669"/>
      <c r="Z669"/>
      <c r="AA669"/>
      <c r="AB669"/>
      <c r="AC669"/>
      <c r="AD669"/>
      <c r="AE669"/>
      <c r="AF669"/>
      <c r="AG669"/>
      <c r="AH669"/>
      <c r="AI669"/>
    </row>
    <row r="670" spans="1:35" customHeight="1" ht="15.75">
      <c r="A670"/>
      <c r="B670" s="83">
        <v>1010302004</v>
      </c>
      <c r="C670" s="72"/>
      <c r="D670" s="73"/>
      <c r="E670" s="74"/>
      <c r="F670" s="75"/>
      <c r="G670" s="76"/>
      <c r="H670" s="84"/>
      <c r="I670" s="77"/>
      <c r="J670" s="31"/>
      <c r="K670"/>
      <c r="L670"/>
      <c r="M670"/>
      <c r="N670"/>
      <c r="O670"/>
      <c r="P670"/>
      <c r="Q670"/>
      <c r="R670"/>
      <c r="S670"/>
      <c r="T670"/>
      <c r="U670"/>
      <c r="V670"/>
      <c r="W670"/>
      <c r="X670"/>
      <c r="Y670"/>
      <c r="Z670"/>
      <c r="AA670"/>
      <c r="AB670"/>
      <c r="AC670"/>
      <c r="AD670"/>
      <c r="AE670"/>
      <c r="AF670"/>
      <c r="AG670"/>
      <c r="AH670"/>
      <c r="AI670"/>
    </row>
    <row r="671" spans="1:35" customHeight="1" ht="15.75">
      <c r="A671"/>
      <c r="B671" s="83" t="s">
        <v>310</v>
      </c>
      <c r="C671" s="72" t="s">
        <v>311</v>
      </c>
      <c r="D671" s="73"/>
      <c r="E671" s="74"/>
      <c r="F671" s="75">
        <v>0</v>
      </c>
      <c r="G671" s="76">
        <v>-1</v>
      </c>
      <c r="H671" s="84">
        <f>F671+G671</f>
        <v>-1</v>
      </c>
      <c r="I671" s="77">
        <v>-1</v>
      </c>
      <c r="J671" s="31"/>
      <c r="K671"/>
      <c r="L671"/>
      <c r="M671"/>
      <c r="N671"/>
      <c r="O671"/>
      <c r="P671"/>
      <c r="Q671"/>
      <c r="R671"/>
      <c r="S671"/>
      <c r="T671"/>
      <c r="U671"/>
      <c r="V671"/>
      <c r="W671"/>
      <c r="X671"/>
      <c r="Y671"/>
      <c r="Z671"/>
      <c r="AA671"/>
      <c r="AB671"/>
      <c r="AC671"/>
      <c r="AD671"/>
      <c r="AE671"/>
      <c r="AF671"/>
      <c r="AG671"/>
      <c r="AH671"/>
      <c r="AI671"/>
    </row>
    <row r="672" spans="1:35" customHeight="1" ht="15.75">
      <c r="A672"/>
      <c r="B672" s="83">
        <v>1010302999</v>
      </c>
      <c r="C672" s="72"/>
      <c r="D672" s="73"/>
      <c r="E672" s="74"/>
      <c r="F672" s="75"/>
      <c r="G672" s="76"/>
      <c r="H672" s="84"/>
      <c r="I672" s="77"/>
      <c r="J672" s="31"/>
      <c r="K672"/>
      <c r="L672"/>
      <c r="M672"/>
      <c r="N672"/>
      <c r="O672"/>
      <c r="P672"/>
      <c r="Q672"/>
      <c r="R672"/>
      <c r="S672"/>
      <c r="T672"/>
      <c r="U672"/>
      <c r="V672"/>
      <c r="W672"/>
      <c r="X672"/>
      <c r="Y672"/>
      <c r="Z672"/>
      <c r="AA672"/>
      <c r="AB672"/>
      <c r="AC672"/>
      <c r="AD672"/>
      <c r="AE672"/>
      <c r="AF672"/>
      <c r="AG672"/>
      <c r="AH672"/>
      <c r="AI672"/>
    </row>
    <row r="673" spans="1:35" customHeight="1" ht="15.75">
      <c r="A673"/>
      <c r="B673" s="83" t="s">
        <v>202</v>
      </c>
      <c r="C673" s="72" t="s">
        <v>1152</v>
      </c>
      <c r="D673" s="73"/>
      <c r="E673" s="74"/>
      <c r="F673" s="75">
        <v>0</v>
      </c>
      <c r="G673" s="76">
        <v>0</v>
      </c>
      <c r="H673" s="84">
        <f>F673+G673</f>
        <v>0</v>
      </c>
      <c r="I673" s="77">
        <v>0</v>
      </c>
      <c r="J673" s="31"/>
      <c r="K673"/>
      <c r="L673"/>
      <c r="M673"/>
      <c r="N673"/>
      <c r="O673"/>
      <c r="P673"/>
      <c r="Q673"/>
      <c r="R673"/>
      <c r="S673"/>
      <c r="T673"/>
      <c r="U673"/>
      <c r="V673"/>
      <c r="W673"/>
      <c r="X673"/>
      <c r="Y673"/>
      <c r="Z673"/>
      <c r="AA673"/>
      <c r="AB673"/>
      <c r="AC673"/>
      <c r="AD673"/>
      <c r="AE673"/>
      <c r="AF673"/>
      <c r="AG673"/>
      <c r="AH673"/>
      <c r="AI673"/>
    </row>
    <row r="674" spans="1:35" customHeight="1" ht="50.25">
      <c r="A674"/>
      <c r="B674" s="63" t="s">
        <v>15</v>
      </c>
      <c r="C674" s="64"/>
      <c r="D674" s="65"/>
      <c r="E674" s="66"/>
      <c r="F674" s="65"/>
      <c r="G674" s="67"/>
      <c r="H674" s="66"/>
      <c r="I674" s="65"/>
      <c r="J674" s="66"/>
      <c r="K674"/>
      <c r="L674"/>
      <c r="M674"/>
      <c r="N674"/>
      <c r="O674"/>
      <c r="P674"/>
      <c r="Q674"/>
      <c r="R674"/>
      <c r="S674"/>
      <c r="T674"/>
      <c r="U674"/>
      <c r="V674"/>
      <c r="W674"/>
      <c r="X674"/>
      <c r="Y674"/>
      <c r="Z674"/>
      <c r="AA674"/>
      <c r="AB674"/>
      <c r="AC674"/>
      <c r="AD674"/>
      <c r="AE674"/>
      <c r="AF674"/>
      <c r="AG674"/>
      <c r="AH674"/>
      <c r="AI674"/>
    </row>
    <row r="675" spans="1:3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  <c r="O675"/>
      <c r="P675"/>
      <c r="Q675"/>
      <c r="R675"/>
      <c r="S675"/>
      <c r="T675"/>
      <c r="U675"/>
      <c r="V675"/>
      <c r="W675"/>
      <c r="X675"/>
      <c r="Y675"/>
      <c r="Z675"/>
      <c r="AA675"/>
      <c r="AB675"/>
      <c r="AC675"/>
      <c r="AD675"/>
      <c r="AE675"/>
      <c r="AF675"/>
      <c r="AG675"/>
      <c r="AH675"/>
      <c r="AI675"/>
    </row>
    <row r="676" spans="1:3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  <c r="O676"/>
      <c r="P676"/>
      <c r="Q676"/>
      <c r="R676"/>
      <c r="S676"/>
      <c r="T676"/>
      <c r="U676"/>
      <c r="V676"/>
      <c r="W676"/>
      <c r="X676"/>
      <c r="Y676"/>
      <c r="Z676"/>
      <c r="AA676"/>
      <c r="AB676"/>
      <c r="AC676"/>
      <c r="AD676"/>
      <c r="AE676"/>
      <c r="AF676"/>
      <c r="AG676"/>
      <c r="AH676"/>
      <c r="AI676"/>
    </row>
    <row r="677" spans="1:35">
      <c r="A677"/>
      <c r="B677" t="s">
        <v>1151</v>
      </c>
      <c r="C677"/>
      <c r="D677"/>
      <c r="E677"/>
      <c r="F677"/>
      <c r="G677"/>
      <c r="H677"/>
      <c r="I677"/>
      <c r="J677"/>
      <c r="K677"/>
      <c r="L677"/>
      <c r="M677"/>
      <c r="N677"/>
      <c r="O677"/>
      <c r="P677"/>
      <c r="Q677"/>
      <c r="R677"/>
      <c r="S677"/>
      <c r="T677"/>
      <c r="U677"/>
      <c r="V677"/>
      <c r="W677"/>
      <c r="X677"/>
      <c r="Y677"/>
      <c r="Z677"/>
      <c r="AA677"/>
      <c r="AB677"/>
      <c r="AC677"/>
      <c r="AD677"/>
      <c r="AE677"/>
      <c r="AF677"/>
      <c r="AG677"/>
      <c r="AH677"/>
      <c r="AI677"/>
    </row>
    <row r="678" spans="1:35">
      <c r="A678"/>
      <c r="B678" s="14" t="s">
        <v>1149</v>
      </c>
      <c r="C678" s="15"/>
      <c r="D678" s="68" t="s">
        <v>1150</v>
      </c>
      <c r="E678" s="68"/>
      <c r="F678"/>
      <c r="G678"/>
      <c r="H678"/>
      <c r="I678"/>
      <c r="J678"/>
      <c r="K678"/>
      <c r="L678"/>
      <c r="M678"/>
      <c r="N678"/>
      <c r="O678"/>
      <c r="P678"/>
      <c r="Q678"/>
      <c r="R678"/>
      <c r="S678"/>
      <c r="T678"/>
      <c r="U678"/>
      <c r="V678"/>
      <c r="W678"/>
      <c r="X678"/>
      <c r="Y678"/>
      <c r="Z678"/>
      <c r="AA678"/>
      <c r="AB678"/>
      <c r="AC678"/>
      <c r="AD678"/>
      <c r="AE678"/>
      <c r="AF678"/>
      <c r="AG678"/>
      <c r="AH678"/>
      <c r="AI678"/>
    </row>
    <row r="679" spans="1:35">
      <c r="A679"/>
      <c r="B679" t="s">
        <v>1149</v>
      </c>
      <c r="C679" s="15"/>
      <c r="D679" s="68" t="s">
        <v>1148</v>
      </c>
      <c r="E679" s="68"/>
      <c r="F679"/>
      <c r="G679"/>
      <c r="H679"/>
      <c r="I679"/>
      <c r="J679"/>
      <c r="K679"/>
      <c r="L679"/>
      <c r="M679"/>
      <c r="N679"/>
      <c r="O679"/>
      <c r="P679"/>
      <c r="Q679"/>
      <c r="R679"/>
      <c r="S679"/>
      <c r="T679"/>
      <c r="U679"/>
      <c r="V679"/>
      <c r="W679"/>
      <c r="X679"/>
      <c r="Y679"/>
      <c r="Z679"/>
      <c r="AA679"/>
      <c r="AB679"/>
      <c r="AC679"/>
      <c r="AD679"/>
      <c r="AE679"/>
      <c r="AF679"/>
      <c r="AG679"/>
      <c r="AH679"/>
      <c r="AI679"/>
    </row>
    <row r="680" spans="1:35">
      <c r="A680"/>
      <c r="B680"/>
      <c r="C680"/>
      <c r="D680"/>
      <c r="E680"/>
      <c r="F680"/>
      <c r="G680" s="60" t="s">
        <v>1147</v>
      </c>
      <c r="H680" s="60"/>
      <c r="I680" s="60"/>
      <c r="J680"/>
      <c r="K680"/>
      <c r="L680"/>
      <c r="M680"/>
      <c r="N680"/>
      <c r="O680"/>
      <c r="P680"/>
      <c r="Q680"/>
      <c r="R680"/>
      <c r="S680"/>
      <c r="T680"/>
      <c r="U680"/>
      <c r="V680"/>
      <c r="W680"/>
      <c r="X680"/>
      <c r="Y680"/>
      <c r="Z680"/>
      <c r="AA680"/>
      <c r="AB680"/>
      <c r="AC680"/>
      <c r="AD680"/>
      <c r="AE680"/>
      <c r="AF680"/>
      <c r="AG680"/>
      <c r="AH680"/>
      <c r="AI680"/>
    </row>
    <row r="681" spans="1:35">
      <c r="A681"/>
      <c r="B681" s="60" t="s">
        <v>1146</v>
      </c>
      <c r="C681" s="60"/>
      <c r="D681" s="60"/>
      <c r="E681" s="60"/>
      <c r="F681"/>
      <c r="G681" s="60" t="s">
        <v>1145</v>
      </c>
      <c r="H681" s="60"/>
      <c r="I681" s="60"/>
      <c r="J681"/>
      <c r="K681"/>
      <c r="L681"/>
      <c r="M681"/>
      <c r="N681"/>
      <c r="O681"/>
      <c r="P681"/>
      <c r="Q681"/>
      <c r="R681"/>
      <c r="S681"/>
      <c r="T681"/>
      <c r="U681"/>
      <c r="V681"/>
      <c r="W681"/>
      <c r="X681"/>
      <c r="Y681"/>
      <c r="Z681"/>
      <c r="AA681"/>
      <c r="AB681"/>
      <c r="AC681"/>
      <c r="AD681"/>
      <c r="AE681"/>
      <c r="AF681"/>
      <c r="AG681"/>
      <c r="AH681"/>
      <c r="AI681"/>
    </row>
    <row r="682" spans="1:35">
      <c r="A682"/>
      <c r="B682" s="60" t="s">
        <v>1144</v>
      </c>
      <c r="C682" s="60"/>
      <c r="D682" s="60"/>
      <c r="E682" s="60"/>
      <c r="F682"/>
      <c r="G682" s="60"/>
      <c r="H682" s="60"/>
      <c r="I682" s="60"/>
      <c r="J682"/>
      <c r="K682"/>
      <c r="L682"/>
      <c r="M682"/>
      <c r="N682"/>
      <c r="O682"/>
      <c r="P682"/>
      <c r="Q682"/>
      <c r="R682"/>
      <c r="S682"/>
      <c r="T682"/>
      <c r="U682"/>
      <c r="V682"/>
      <c r="W682"/>
      <c r="X682"/>
      <c r="Y682"/>
      <c r="Z682"/>
      <c r="AA682"/>
      <c r="AB682"/>
      <c r="AC682"/>
      <c r="AD682"/>
      <c r="AE682"/>
      <c r="AF682"/>
      <c r="AG682"/>
      <c r="AH682"/>
      <c r="AI682"/>
    </row>
    <row r="683" spans="1:35">
      <c r="A683"/>
      <c r="B683" s="60"/>
      <c r="C683" s="60"/>
      <c r="D683" s="60"/>
      <c r="E683" s="60"/>
      <c r="F683"/>
      <c r="G683" s="60"/>
      <c r="H683" s="60"/>
      <c r="I683" s="60"/>
      <c r="J683"/>
      <c r="K683"/>
      <c r="L683"/>
      <c r="M683"/>
      <c r="N683"/>
      <c r="O683"/>
      <c r="P683"/>
      <c r="Q683"/>
      <c r="R683"/>
      <c r="S683"/>
      <c r="T683"/>
      <c r="U683"/>
      <c r="V683"/>
      <c r="W683"/>
      <c r="X683"/>
      <c r="Y683"/>
      <c r="Z683"/>
      <c r="AA683"/>
      <c r="AB683"/>
      <c r="AC683"/>
      <c r="AD683"/>
      <c r="AE683"/>
      <c r="AF683"/>
      <c r="AG683"/>
      <c r="AH683"/>
      <c r="AI683"/>
    </row>
    <row r="684" spans="1:35">
      <c r="A684"/>
      <c r="B684" s="60"/>
      <c r="C684" s="60"/>
      <c r="D684" s="60"/>
      <c r="E684" s="60"/>
      <c r="F684"/>
      <c r="G684" s="60"/>
      <c r="H684" s="60"/>
      <c r="I684" s="60"/>
      <c r="J684"/>
      <c r="K684"/>
      <c r="L684"/>
      <c r="M684"/>
      <c r="N684"/>
      <c r="O684"/>
      <c r="P684"/>
      <c r="Q684"/>
      <c r="R684"/>
      <c r="S684"/>
      <c r="T684"/>
      <c r="U684"/>
      <c r="V684"/>
      <c r="W684"/>
      <c r="X684"/>
      <c r="Y684"/>
      <c r="Z684"/>
      <c r="AA684"/>
      <c r="AB684"/>
      <c r="AC684"/>
      <c r="AD684"/>
      <c r="AE684"/>
      <c r="AF684"/>
      <c r="AG684"/>
      <c r="AH684"/>
      <c r="AI684"/>
    </row>
    <row r="685" spans="1:35">
      <c r="A685"/>
      <c r="B685" s="60"/>
      <c r="C685" s="60"/>
      <c r="D685" s="60"/>
      <c r="E685" s="60"/>
      <c r="F685"/>
      <c r="G685" s="60"/>
      <c r="H685" s="60"/>
      <c r="I685" s="60"/>
      <c r="J685"/>
      <c r="K685"/>
      <c r="L685"/>
      <c r="M685"/>
      <c r="N685"/>
      <c r="O685"/>
      <c r="P685"/>
      <c r="Q685"/>
      <c r="R685"/>
      <c r="S685"/>
      <c r="T685"/>
      <c r="U685"/>
      <c r="V685"/>
      <c r="W685"/>
      <c r="X685"/>
      <c r="Y685"/>
      <c r="Z685"/>
      <c r="AA685"/>
      <c r="AB685"/>
      <c r="AC685"/>
      <c r="AD685"/>
      <c r="AE685"/>
      <c r="AF685"/>
      <c r="AG685"/>
      <c r="AH685"/>
      <c r="AI685"/>
    </row>
    <row r="686" spans="1:35">
      <c r="A686"/>
      <c r="B686" s="60"/>
      <c r="C686" s="60"/>
      <c r="D686" s="60"/>
      <c r="E686" s="60"/>
      <c r="F686"/>
      <c r="G686" s="60"/>
      <c r="H686" s="60"/>
      <c r="I686" s="60"/>
      <c r="J686"/>
      <c r="K686"/>
      <c r="L686"/>
      <c r="M686"/>
      <c r="N686"/>
      <c r="O686"/>
      <c r="P686"/>
      <c r="Q686"/>
      <c r="R686"/>
      <c r="S686"/>
      <c r="T686"/>
      <c r="U686"/>
      <c r="V686"/>
      <c r="W686"/>
      <c r="X686"/>
      <c r="Y686"/>
      <c r="Z686"/>
      <c r="AA686"/>
      <c r="AB686"/>
      <c r="AC686"/>
      <c r="AD686"/>
      <c r="AE686"/>
      <c r="AF686"/>
      <c r="AG686"/>
      <c r="AH686"/>
      <c r="AI686"/>
    </row>
    <row r="687" spans="1:35">
      <c r="A687"/>
      <c r="B687" s="60"/>
      <c r="C687" s="60"/>
      <c r="D687" s="60"/>
      <c r="E687" s="60"/>
      <c r="F687"/>
      <c r="G687" s="60"/>
      <c r="H687" s="60"/>
      <c r="I687" s="60"/>
      <c r="J687"/>
      <c r="K687"/>
      <c r="L687"/>
      <c r="M687"/>
      <c r="N687"/>
      <c r="O687"/>
      <c r="P687"/>
      <c r="Q687"/>
      <c r="R687"/>
      <c r="S687"/>
      <c r="T687"/>
      <c r="U687"/>
      <c r="V687"/>
      <c r="W687"/>
      <c r="X687"/>
      <c r="Y687"/>
      <c r="Z687"/>
      <c r="AA687"/>
      <c r="AB687"/>
      <c r="AC687"/>
      <c r="AD687"/>
      <c r="AE687"/>
      <c r="AF687"/>
      <c r="AG687"/>
      <c r="AH687"/>
      <c r="AI687"/>
    </row>
    <row r="688" spans="1:35">
      <c r="A688"/>
      <c r="B688" s="60" t="s">
        <v>1143</v>
      </c>
      <c r="C688" s="60"/>
      <c r="D688" s="60"/>
      <c r="E688" s="60"/>
      <c r="F688"/>
      <c r="G688" s="60" t="s">
        <v>1142</v>
      </c>
      <c r="H688" s="60"/>
      <c r="I688" s="60"/>
      <c r="J688"/>
      <c r="K688"/>
      <c r="L688"/>
      <c r="M688"/>
      <c r="N688"/>
      <c r="O688"/>
      <c r="P688"/>
      <c r="Q688"/>
      <c r="R688"/>
      <c r="S688"/>
      <c r="T688"/>
      <c r="U688"/>
      <c r="V688"/>
      <c r="W688"/>
      <c r="X688"/>
      <c r="Y688"/>
      <c r="Z688"/>
      <c r="AA688"/>
      <c r="AB688"/>
      <c r="AC688"/>
      <c r="AD688"/>
      <c r="AE688"/>
      <c r="AF688"/>
      <c r="AG688"/>
      <c r="AH688"/>
      <c r="AI688"/>
    </row>
  </sheetData>
  <mergeCells>
    <mergeCell ref="D278:E278"/>
    <mergeCell ref="F278:H278"/>
    <mergeCell ref="I278:J278"/>
    <mergeCell ref="G680:I680"/>
    <mergeCell ref="G688:I688"/>
    <mergeCell ref="B683:E687"/>
    <mergeCell ref="G682:I687"/>
    <mergeCell ref="B682:E682"/>
    <mergeCell ref="B681:E681"/>
    <mergeCell ref="B688:E688"/>
    <mergeCell ref="G681:I681"/>
    <mergeCell ref="D660:E660"/>
    <mergeCell ref="F660:H660"/>
    <mergeCell ref="I660:J660"/>
    <mergeCell ref="B674:C674"/>
    <mergeCell ref="D674:E674"/>
    <mergeCell ref="F674:H674"/>
    <mergeCell ref="I674:J674"/>
    <mergeCell ref="D678:E678"/>
    <mergeCell ref="D679:E679"/>
    <mergeCell ref="D172:E172"/>
    <mergeCell ref="F172:H172"/>
    <mergeCell ref="I172:J172"/>
    <mergeCell ref="D190:E190"/>
    <mergeCell ref="F190:H190"/>
    <mergeCell ref="I190:J190"/>
    <mergeCell ref="D205:E205"/>
    <mergeCell ref="F205:G205"/>
    <mergeCell ref="I205:J205"/>
    <mergeCell ref="D199:E199"/>
    <mergeCell ref="F199:H199"/>
    <mergeCell ref="I199:J199"/>
    <mergeCell ref="F74:H74"/>
    <mergeCell ref="I74:J74"/>
    <mergeCell ref="D144:E144"/>
    <mergeCell ref="F144:H144"/>
    <mergeCell ref="I144:J144"/>
    <mergeCell ref="D147:E147"/>
    <mergeCell ref="F147:H147"/>
    <mergeCell ref="I147:J147"/>
    <mergeCell ref="D127:E127"/>
    <mergeCell ref="F127:H127"/>
    <mergeCell ref="I127:J127"/>
    <mergeCell ref="D139:E139"/>
    <mergeCell ref="F139:H139"/>
    <mergeCell ref="I139:J139"/>
    <mergeCell ref="D141:E141"/>
    <mergeCell ref="F141:H141"/>
    <mergeCell ref="I141:J141"/>
    <mergeCell ref="B10:B11"/>
    <mergeCell ref="C10:C11"/>
    <mergeCell ref="A4:J4"/>
    <mergeCell ref="A5:J5"/>
    <mergeCell ref="A6:J6"/>
    <mergeCell ref="B7:J7"/>
    <mergeCell ref="B8:J8"/>
    <mergeCell ref="F12:H12"/>
    <mergeCell ref="I12:J12"/>
    <mergeCell ref="I10:J10"/>
    <mergeCell ref="F10:H10"/>
    <mergeCell ref="D294:E294"/>
    <mergeCell ref="F294:H294"/>
    <mergeCell ref="I294:J294"/>
    <mergeCell ref="D292:E292"/>
    <mergeCell ref="F292:H292"/>
    <mergeCell ref="I292:J292"/>
    <mergeCell ref="D288:E288"/>
    <mergeCell ref="F288:H288"/>
    <mergeCell ref="I288:J288"/>
    <mergeCell ref="D286:E286"/>
    <mergeCell ref="F286:H286"/>
    <mergeCell ref="I286:J286"/>
    <mergeCell ref="D253:E253"/>
    <mergeCell ref="F253:H253"/>
    <mergeCell ref="I253:J253"/>
    <mergeCell ref="D215:E215"/>
    <mergeCell ref="F215:H215"/>
    <mergeCell ref="I215:J215"/>
    <mergeCell ref="D262:E262"/>
    <mergeCell ref="F262:H262"/>
    <mergeCell ref="I262:J262"/>
    <mergeCell ref="D264:E264"/>
    <mergeCell ref="F264:H264"/>
    <mergeCell ref="I264:J264"/>
    <mergeCell ref="D281:E281"/>
    <mergeCell ref="F281:H281"/>
    <mergeCell ref="I281:J281"/>
    <mergeCell ref="D284:E284"/>
    <mergeCell ref="F284:H284"/>
    <mergeCell ref="I284:J284"/>
    <mergeCell ref="D276:E276"/>
    <mergeCell ref="F276:H276"/>
    <mergeCell ref="I276:J276"/>
    <mergeCell ref="C1:J1"/>
    <mergeCell ref="C2:J2"/>
    <mergeCell ref="C3:J3"/>
    <mergeCell ref="D124:E124"/>
    <mergeCell ref="F124:H124"/>
    <mergeCell ref="I124:J124"/>
    <mergeCell ref="D122:E122"/>
    <mergeCell ref="F122:H122"/>
    <mergeCell ref="I122:J122"/>
    <mergeCell ref="D51:E51"/>
    <mergeCell ref="F51:H51"/>
    <mergeCell ref="I51:J51"/>
    <mergeCell ref="D12:E12"/>
    <mergeCell ref="D10:E10"/>
    <mergeCell ref="D82:E82"/>
    <mergeCell ref="F82:H82"/>
    <mergeCell ref="I82:J82"/>
    <mergeCell ref="D84:E84"/>
    <mergeCell ref="F84:H84"/>
    <mergeCell ref="I84:J84"/>
    <mergeCell ref="D56:E56"/>
    <mergeCell ref="F56:H56"/>
    <mergeCell ref="I56:J56"/>
    <mergeCell ref="D74:E74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87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2">
      <c r="A1" t="s">
        <v>1153</v>
      </c>
      <c r="B1" t="s">
        <v>1154</v>
      </c>
    </row>
    <row r="2" spans="1:2">
      <c r="A2">
        <v>1010301999000227</v>
      </c>
      <c r="B2" t="s">
        <v>255</v>
      </c>
    </row>
    <row r="3" spans="1:2">
      <c r="A3">
        <v>1010302999000006</v>
      </c>
      <c r="B3" t="s">
        <v>1138</v>
      </c>
    </row>
    <row r="4" spans="1:2">
      <c r="A4">
        <v>1010301006000223</v>
      </c>
      <c r="B4" t="s">
        <v>196</v>
      </c>
    </row>
    <row r="5" spans="1:2">
      <c r="A5">
        <v>1010302999000005</v>
      </c>
      <c r="B5" t="s">
        <v>1139</v>
      </c>
    </row>
    <row r="6" spans="1:2">
      <c r="A6">
        <v>1010302999000004</v>
      </c>
      <c r="B6" t="s">
        <v>1140</v>
      </c>
    </row>
    <row r="7" spans="1:2">
      <c r="A7">
        <v>1010302999000003</v>
      </c>
      <c r="B7" t="s">
        <v>1141</v>
      </c>
    </row>
    <row r="8" spans="1:2">
      <c r="A8">
        <v>1010302004000144</v>
      </c>
      <c r="B8" t="s">
        <v>311</v>
      </c>
    </row>
    <row r="9" spans="1:2">
      <c r="A9">
        <v>1010302999000002</v>
      </c>
      <c r="B9" t="s">
        <v>1152</v>
      </c>
    </row>
    <row r="10" spans="1:2">
      <c r="A10">
        <v>1010302002000107</v>
      </c>
      <c r="B10" t="s">
        <v>299</v>
      </c>
    </row>
    <row r="11" spans="1:2">
      <c r="A11">
        <v>1010301001000230</v>
      </c>
      <c r="B11" t="s">
        <v>87</v>
      </c>
    </row>
    <row r="12" spans="1:2">
      <c r="A12">
        <v>1010301001000231</v>
      </c>
      <c r="B12" t="s">
        <v>89</v>
      </c>
    </row>
    <row r="13" spans="1:2">
      <c r="A13">
        <v>1010301001000232</v>
      </c>
      <c r="B13" t="s">
        <v>91</v>
      </c>
    </row>
    <row r="14" spans="1:2">
      <c r="A14">
        <v>1010301004000061</v>
      </c>
      <c r="B14" t="s">
        <v>142</v>
      </c>
    </row>
    <row r="15" spans="1:2">
      <c r="A15">
        <v>1010301999000228</v>
      </c>
      <c r="B15" t="s">
        <v>250</v>
      </c>
    </row>
    <row r="16" spans="1:2">
      <c r="A16">
        <v>1010304010000002</v>
      </c>
      <c r="B16" t="s">
        <v>381</v>
      </c>
    </row>
    <row r="17" spans="1:2">
      <c r="A17">
        <v>1010301006000224</v>
      </c>
      <c r="B17" t="s">
        <v>192</v>
      </c>
    </row>
    <row r="18" spans="1:2">
      <c r="A18">
        <v>1010399999000608</v>
      </c>
      <c r="B18" t="s">
        <v>1122</v>
      </c>
    </row>
    <row r="19" spans="1:2">
      <c r="A19">
        <v>1010304999000129</v>
      </c>
      <c r="B19" t="s">
        <v>408</v>
      </c>
    </row>
    <row r="20" spans="1:2">
      <c r="A20">
        <v>1010399999000607</v>
      </c>
      <c r="B20" t="s">
        <v>1121</v>
      </c>
    </row>
    <row r="21" spans="1:2">
      <c r="A21">
        <v>1010301999000229</v>
      </c>
      <c r="B21" t="s">
        <v>249</v>
      </c>
    </row>
    <row r="22" spans="1:2">
      <c r="A22">
        <v>1010301001000404</v>
      </c>
      <c r="B22" t="s">
        <v>93</v>
      </c>
    </row>
    <row r="23" spans="1:2">
      <c r="A23">
        <v>1010301001000407</v>
      </c>
      <c r="B23" t="s">
        <v>95</v>
      </c>
    </row>
    <row r="24" spans="1:2">
      <c r="A24">
        <v>1010301006000222</v>
      </c>
      <c r="B24" t="s">
        <v>185</v>
      </c>
    </row>
    <row r="25" spans="1:2">
      <c r="A25">
        <v>1010399999000654</v>
      </c>
      <c r="B25" t="s">
        <v>1114</v>
      </c>
    </row>
    <row r="26" spans="1:2">
      <c r="A26">
        <v>1010301999000999</v>
      </c>
      <c r="B26" t="s">
        <v>246</v>
      </c>
    </row>
    <row r="27" spans="1:2">
      <c r="A27">
        <v>1010304010000003</v>
      </c>
      <c r="B27" t="s">
        <v>375</v>
      </c>
    </row>
    <row r="28" spans="1:2">
      <c r="A28">
        <v>1010304999000607</v>
      </c>
      <c r="B28" t="s">
        <v>398</v>
      </c>
    </row>
    <row r="29" spans="1:2">
      <c r="A29">
        <v>1010304999000608</v>
      </c>
      <c r="B29" t="s">
        <v>400</v>
      </c>
    </row>
    <row r="30" spans="1:2">
      <c r="A30">
        <v>1010399999000339</v>
      </c>
      <c r="B30" t="s">
        <v>171</v>
      </c>
    </row>
    <row r="31" spans="1:2">
      <c r="A31">
        <v>1010399999000664</v>
      </c>
      <c r="B31" t="s">
        <v>1022</v>
      </c>
    </row>
    <row r="32" spans="1:2">
      <c r="A32">
        <v>1010399999000665</v>
      </c>
      <c r="B32" t="s">
        <v>1024</v>
      </c>
    </row>
    <row r="33" spans="1:2">
      <c r="A33">
        <v>1010399999000666</v>
      </c>
      <c r="B33" t="s">
        <v>1104</v>
      </c>
    </row>
    <row r="34" spans="1:2">
      <c r="A34">
        <v>1010399999000667</v>
      </c>
      <c r="B34" t="s">
        <v>1106</v>
      </c>
    </row>
    <row r="35" spans="1:2">
      <c r="A35">
        <v>1010301006000226</v>
      </c>
      <c r="B35" t="s">
        <v>186</v>
      </c>
    </row>
    <row r="36" spans="1:2">
      <c r="A36">
        <v>1010301010000211</v>
      </c>
      <c r="B36" t="s">
        <v>205</v>
      </c>
    </row>
    <row r="37" spans="1:2">
      <c r="A37">
        <v>10103999990006670</v>
      </c>
      <c r="B37" t="s">
        <v>1026</v>
      </c>
    </row>
    <row r="38" spans="1:2">
      <c r="A38">
        <v>1010399999000668</v>
      </c>
      <c r="B38" t="s">
        <v>1028</v>
      </c>
    </row>
    <row r="39" spans="1:2">
      <c r="A39">
        <v>1010399999000669</v>
      </c>
      <c r="B39" t="s">
        <v>1030</v>
      </c>
    </row>
    <row r="40" spans="1:2">
      <c r="A40">
        <v>1010399999000670</v>
      </c>
      <c r="B40" t="s">
        <v>1032</v>
      </c>
    </row>
    <row r="41" spans="1:2">
      <c r="A41">
        <v>1010399999000671</v>
      </c>
      <c r="B41" t="s">
        <v>1034</v>
      </c>
    </row>
    <row r="42" spans="1:2">
      <c r="A42">
        <v>1010399999000672</v>
      </c>
      <c r="B42" t="s">
        <v>1036</v>
      </c>
    </row>
    <row r="43" spans="1:2">
      <c r="A43">
        <v>1010399999000673</v>
      </c>
      <c r="B43" t="s">
        <v>1038</v>
      </c>
    </row>
    <row r="44" spans="1:2">
      <c r="A44">
        <v>1010399999000674</v>
      </c>
      <c r="B44" t="s">
        <v>1040</v>
      </c>
    </row>
    <row r="45" spans="1:2">
      <c r="A45">
        <v>1010399999000675</v>
      </c>
      <c r="B45" t="s">
        <v>1042</v>
      </c>
    </row>
    <row r="46" spans="1:2">
      <c r="A46">
        <v>1010399999000676</v>
      </c>
      <c r="B46" t="s">
        <v>1044</v>
      </c>
    </row>
    <row r="47" spans="1:2">
      <c r="A47">
        <v>1010399999000677</v>
      </c>
      <c r="B47" t="s">
        <v>1100</v>
      </c>
    </row>
    <row r="48" spans="1:2">
      <c r="A48">
        <v>1010399999000678</v>
      </c>
      <c r="B48" t="s">
        <v>1102</v>
      </c>
    </row>
    <row r="49" spans="1:2">
      <c r="A49">
        <v>1010302001000114</v>
      </c>
      <c r="B49" t="s">
        <v>258</v>
      </c>
    </row>
    <row r="50" spans="1:2">
      <c r="A50">
        <v>1010302001000115</v>
      </c>
      <c r="B50" t="s">
        <v>260</v>
      </c>
    </row>
    <row r="51" spans="1:2">
      <c r="A51">
        <v>1010399999000679</v>
      </c>
      <c r="B51" t="s">
        <v>1046</v>
      </c>
    </row>
    <row r="52" spans="1:2">
      <c r="A52">
        <v>1010399999000680</v>
      </c>
      <c r="B52" t="s">
        <v>1048</v>
      </c>
    </row>
    <row r="53" spans="1:2">
      <c r="A53">
        <v>1010399999000681</v>
      </c>
      <c r="B53" t="s">
        <v>1050</v>
      </c>
    </row>
    <row r="54" spans="1:2">
      <c r="A54">
        <v>1010399999000682</v>
      </c>
      <c r="B54" t="s">
        <v>1086</v>
      </c>
    </row>
    <row r="55" spans="1:2">
      <c r="A55">
        <v>1010399999000683</v>
      </c>
      <c r="B55" t="s">
        <v>1088</v>
      </c>
    </row>
    <row r="56" spans="1:2">
      <c r="A56">
        <v>1010399999000684</v>
      </c>
      <c r="B56" t="s">
        <v>1090</v>
      </c>
    </row>
    <row r="57" spans="1:2">
      <c r="A57">
        <v>1010399999000685</v>
      </c>
      <c r="B57" t="s">
        <v>1092</v>
      </c>
    </row>
    <row r="58" spans="1:2">
      <c r="A58">
        <v>1010399999000686</v>
      </c>
      <c r="B58" t="s">
        <v>1094</v>
      </c>
    </row>
    <row r="59" spans="1:2">
      <c r="A59">
        <v>1010399999000687</v>
      </c>
      <c r="B59" t="s">
        <v>1096</v>
      </c>
    </row>
    <row r="60" spans="1:2">
      <c r="A60">
        <v>1010399999000688</v>
      </c>
      <c r="B60" t="s">
        <v>1098</v>
      </c>
    </row>
    <row r="61" spans="1:2">
      <c r="A61">
        <v>1010304999000128</v>
      </c>
      <c r="B61" t="s">
        <v>394</v>
      </c>
    </row>
    <row r="62" spans="1:2">
      <c r="A62">
        <v>1010301006000230</v>
      </c>
      <c r="B62" t="s">
        <v>187</v>
      </c>
    </row>
    <row r="63" spans="1:2">
      <c r="A63">
        <v>1010304010000004</v>
      </c>
      <c r="B63" t="s">
        <v>370</v>
      </c>
    </row>
    <row r="64" spans="1:2">
      <c r="A64">
        <v>1010304999000130</v>
      </c>
      <c r="B64" t="s">
        <v>392</v>
      </c>
    </row>
    <row r="65" spans="1:2">
      <c r="A65">
        <v>1010301006000227</v>
      </c>
      <c r="B65" t="s">
        <v>188</v>
      </c>
    </row>
    <row r="66" spans="1:2">
      <c r="A66">
        <v>1010301006000228</v>
      </c>
      <c r="B66" t="s">
        <v>189</v>
      </c>
    </row>
    <row r="67" spans="1:2">
      <c r="A67">
        <v>1010301006000229</v>
      </c>
      <c r="B67" t="s">
        <v>190</v>
      </c>
    </row>
    <row r="68" spans="1:2">
      <c r="A68">
        <v>1010399999000689</v>
      </c>
      <c r="B68" t="s">
        <v>1052</v>
      </c>
    </row>
    <row r="69" spans="1:2">
      <c r="A69">
        <v>1010399999000690</v>
      </c>
      <c r="B69" t="s">
        <v>1054</v>
      </c>
    </row>
    <row r="70" spans="1:2">
      <c r="A70">
        <v>1010399999000691</v>
      </c>
      <c r="B70" t="s">
        <v>1056</v>
      </c>
    </row>
    <row r="71" spans="1:2">
      <c r="A71">
        <v>1010399999000692</v>
      </c>
      <c r="B71" t="s">
        <v>1058</v>
      </c>
    </row>
    <row r="72" spans="1:2">
      <c r="A72">
        <v>1010399999000693</v>
      </c>
      <c r="B72" t="s">
        <v>1060</v>
      </c>
    </row>
    <row r="73" spans="1:2">
      <c r="A73">
        <v>1010399999000694</v>
      </c>
      <c r="B73" t="s">
        <v>1062</v>
      </c>
    </row>
    <row r="74" spans="1:2">
      <c r="A74">
        <v>1010399999000695</v>
      </c>
      <c r="B74" t="s">
        <v>1064</v>
      </c>
    </row>
    <row r="75" spans="1:2">
      <c r="A75">
        <v>1010399999000696</v>
      </c>
      <c r="B75" t="s">
        <v>1066</v>
      </c>
    </row>
    <row r="76" spans="1:2">
      <c r="A76">
        <v>1010399999000697</v>
      </c>
      <c r="B76" t="s">
        <v>1068</v>
      </c>
    </row>
    <row r="77" spans="1:2">
      <c r="A77">
        <v>1010399999000698</v>
      </c>
      <c r="B77" t="s">
        <v>1070</v>
      </c>
    </row>
    <row r="78" spans="1:2">
      <c r="A78">
        <v>1010399999000699</v>
      </c>
      <c r="B78" t="s">
        <v>1072</v>
      </c>
    </row>
    <row r="79" spans="1:2">
      <c r="A79">
        <v>1010399999000700</v>
      </c>
      <c r="B79" t="s">
        <v>1080</v>
      </c>
    </row>
    <row r="80" spans="1:2">
      <c r="A80">
        <v>1010399999000701</v>
      </c>
      <c r="B80" t="s">
        <v>1082</v>
      </c>
    </row>
    <row r="81" spans="1:2">
      <c r="A81">
        <v>1010399999000702</v>
      </c>
      <c r="B81" t="s">
        <v>1084</v>
      </c>
    </row>
    <row r="82" spans="1:2">
      <c r="A82">
        <v>1010304999000131</v>
      </c>
      <c r="B82" t="s">
        <v>384</v>
      </c>
    </row>
    <row r="83" spans="1:2">
      <c r="A83">
        <v>1010304999000132</v>
      </c>
      <c r="B83" t="s">
        <v>386</v>
      </c>
    </row>
    <row r="84" spans="1:2">
      <c r="A84">
        <v>1010304999000133</v>
      </c>
      <c r="B84" t="s">
        <v>388</v>
      </c>
    </row>
    <row r="85" spans="1:2">
      <c r="A85">
        <v>1010399999000703</v>
      </c>
      <c r="B85" t="s">
        <v>1074</v>
      </c>
    </row>
    <row r="86" spans="1:2">
      <c r="A86">
        <v>1010399999000704</v>
      </c>
      <c r="B86" t="s">
        <v>1076</v>
      </c>
    </row>
    <row r="87" spans="1:2">
      <c r="A87">
        <v>1010399999000705</v>
      </c>
      <c r="B87" t="s">
        <v>1078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Barang Baru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A_2010511006 Marshela Alya</dc:creator>
  <cp:lastModifiedBy>A_2010511006 Marshela Alya</cp:lastModifiedBy>
  <dcterms:created xsi:type="dcterms:W3CDTF">2024-08-26T14:39:46+07:00</dcterms:created>
  <dcterms:modified xsi:type="dcterms:W3CDTF">2024-08-28T12:28:21+07:00</dcterms:modified>
  <dc:title/>
  <dc:description/>
  <dc:subject/>
  <cp:keywords/>
  <cp:category/>
</cp:coreProperties>
</file>